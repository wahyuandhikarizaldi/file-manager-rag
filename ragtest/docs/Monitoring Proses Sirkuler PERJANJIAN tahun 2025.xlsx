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MONITORING SIRKULER PERJANJIAN\"/>
    </mc:Choice>
  </mc:AlternateContent>
  <xr:revisionPtr revIDLastSave="0" documentId="13_ncr:1_{A8C086E5-55D0-4599-A70C-AD60124486EE}" xr6:coauthVersionLast="47" xr6:coauthVersionMax="47" xr10:uidLastSave="{00000000-0000-0000-0000-000000000000}"/>
  <bookViews>
    <workbookView xWindow="-110" yWindow="-110" windowWidth="19420" windowHeight="10420" tabRatio="733" firstSheet="10" activeTab="10" xr2:uid="{ABF7E704-1C9B-4F52-8A69-EDB150885F8A}"/>
  </bookViews>
  <sheets>
    <sheet name="DES" sheetId="16" state="hidden" r:id="rId1"/>
    <sheet name="NOV" sheetId="13" state="hidden" r:id="rId2"/>
    <sheet name="OKT" sheetId="12" state="hidden" r:id="rId3"/>
    <sheet name="SEPT" sheetId="11" state="hidden" r:id="rId4"/>
    <sheet name="AGS" sheetId="10" state="hidden" r:id="rId5"/>
    <sheet name="JUL" sheetId="9" state="hidden" r:id="rId6"/>
    <sheet name="JUN" sheetId="8" state="hidden" r:id="rId7"/>
    <sheet name="MEI" sheetId="6" state="hidden" r:id="rId8"/>
    <sheet name="APR" sheetId="5" state="hidden" r:id="rId9"/>
    <sheet name="MAR" sheetId="4" state="hidden" r:id="rId10"/>
    <sheet name="MONITOR SIRKULER" sheetId="2" r:id="rId11"/>
    <sheet name="LIST PPG" sheetId="7" r:id="rId12"/>
    <sheet name="OTA" sheetId="17" state="hidden" r:id="rId13"/>
    <sheet name="RK" sheetId="14" r:id="rId14"/>
  </sheets>
  <definedNames>
    <definedName name="_xlnm._FilterDatabase" localSheetId="4" hidden="1">AGS!$B$5:$L$96</definedName>
    <definedName name="_xlnm._FilterDatabase" localSheetId="5" hidden="1">JUL!$B$5:$L$16</definedName>
    <definedName name="_xlnm._FilterDatabase" localSheetId="6" hidden="1">JUN!$B$5:$L$14</definedName>
    <definedName name="_xlnm._FilterDatabase" localSheetId="10" hidden="1">'MONITOR SIRKULER'!$B$5:$N$7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8" i="14" l="1"/>
  <c r="O68" i="14"/>
  <c r="N68" i="14"/>
  <c r="M68" i="14"/>
  <c r="L68" i="14"/>
  <c r="K68" i="14"/>
  <c r="J68" i="14"/>
  <c r="I68" i="14"/>
  <c r="H68" i="14"/>
  <c r="G68" i="14"/>
  <c r="F68" i="14"/>
  <c r="J67" i="14"/>
  <c r="P61" i="14"/>
  <c r="O61" i="14"/>
  <c r="N61" i="14"/>
  <c r="M61" i="14"/>
  <c r="L61" i="14"/>
  <c r="K61" i="14"/>
  <c r="I61" i="14"/>
  <c r="H61" i="14"/>
  <c r="G61" i="14"/>
  <c r="F61" i="14"/>
  <c r="J60" i="14"/>
  <c r="J59" i="14"/>
  <c r="J58" i="14"/>
  <c r="J57" i="14"/>
  <c r="C57" i="14"/>
  <c r="C58" i="14" s="1"/>
  <c r="C59" i="14" s="1"/>
  <c r="C60" i="14" s="1"/>
  <c r="J56" i="14"/>
  <c r="J61" i="14" s="1"/>
  <c r="P50" i="14"/>
  <c r="O50" i="14"/>
  <c r="N50" i="14"/>
  <c r="M50" i="14"/>
  <c r="L50" i="14"/>
  <c r="K50" i="14"/>
  <c r="J50" i="14"/>
  <c r="I50" i="14"/>
  <c r="H50" i="14"/>
  <c r="G50" i="14"/>
  <c r="F50" i="14"/>
  <c r="J49" i="14"/>
  <c r="J48" i="14"/>
  <c r="J47" i="14"/>
  <c r="P41" i="14"/>
  <c r="O41" i="14"/>
  <c r="N41" i="14"/>
  <c r="M41" i="14"/>
  <c r="L41" i="14"/>
  <c r="K41" i="14"/>
  <c r="I41" i="14"/>
  <c r="H41" i="14"/>
  <c r="G41" i="14"/>
  <c r="F41" i="14"/>
  <c r="J40" i="14"/>
  <c r="J41" i="14" s="1"/>
  <c r="J39" i="14"/>
  <c r="J38" i="14"/>
  <c r="P31" i="14"/>
  <c r="O31" i="14"/>
  <c r="N31" i="14"/>
  <c r="M31" i="14"/>
  <c r="L31" i="14"/>
  <c r="K31" i="14"/>
  <c r="I31" i="14"/>
  <c r="H31" i="14"/>
  <c r="G31" i="14"/>
  <c r="F31" i="14"/>
  <c r="J30" i="14"/>
  <c r="J29" i="14"/>
  <c r="J28" i="14"/>
  <c r="J27" i="14"/>
  <c r="J31" i="14" s="1"/>
  <c r="P20" i="14"/>
  <c r="O20" i="14"/>
  <c r="N20" i="14"/>
  <c r="M20" i="14"/>
  <c r="L20" i="14"/>
  <c r="K20" i="14"/>
  <c r="I20" i="14"/>
  <c r="H20" i="14"/>
  <c r="G20" i="14"/>
  <c r="F20" i="14"/>
  <c r="J19" i="14"/>
  <c r="J20" i="14" s="1"/>
  <c r="C19" i="14"/>
  <c r="J18" i="14"/>
  <c r="P11" i="14"/>
  <c r="O11" i="14"/>
  <c r="N11" i="14"/>
  <c r="M11" i="14"/>
  <c r="L11" i="14"/>
  <c r="K11" i="14"/>
  <c r="J11" i="14"/>
  <c r="I11" i="14"/>
  <c r="H11" i="14"/>
  <c r="G11" i="14"/>
  <c r="F11" i="14"/>
  <c r="F61" i="7"/>
  <c r="Q56" i="7"/>
  <c r="P56" i="7"/>
  <c r="O56" i="7"/>
  <c r="E55" i="7"/>
  <c r="F62" i="7" s="1"/>
  <c r="F51" i="7"/>
  <c r="Q49" i="7"/>
  <c r="P49" i="7"/>
  <c r="E52" i="7" s="1"/>
  <c r="O49" i="7"/>
  <c r="E51" i="7" s="1"/>
  <c r="E38" i="7"/>
  <c r="E39" i="7" s="1"/>
  <c r="E40" i="7" s="1"/>
  <c r="E41" i="7" s="1"/>
  <c r="E42" i="7" s="1"/>
  <c r="E43" i="7" s="1"/>
  <c r="E44" i="7" s="1"/>
  <c r="E45" i="7" s="1"/>
  <c r="E32" i="7"/>
  <c r="E33" i="7" s="1"/>
  <c r="E34" i="7" s="1"/>
  <c r="E35" i="7" s="1"/>
  <c r="E36" i="7" s="1"/>
  <c r="E31" i="7"/>
  <c r="E25" i="7"/>
  <c r="E26" i="7" s="1"/>
  <c r="E27" i="7" s="1"/>
  <c r="E28" i="7" s="1"/>
  <c r="E29" i="7" s="1"/>
  <c r="E18" i="7"/>
  <c r="E19" i="7" s="1"/>
  <c r="E20" i="7" s="1"/>
  <c r="E21" i="7" s="1"/>
  <c r="E22" i="7" s="1"/>
  <c r="E23" i="7" s="1"/>
  <c r="E10" i="7"/>
  <c r="E11" i="7" s="1"/>
  <c r="E12" i="7" s="1"/>
  <c r="E13" i="7" s="1"/>
  <c r="E14" i="7" s="1"/>
  <c r="E15" i="7" s="1"/>
  <c r="E16" i="7" s="1"/>
  <c r="AB6" i="7"/>
  <c r="AA6" i="7"/>
  <c r="Z6" i="7"/>
  <c r="Y6" i="7"/>
  <c r="W6" i="7"/>
  <c r="V6" i="7"/>
  <c r="U6" i="7"/>
  <c r="T6" i="7"/>
  <c r="S6" i="7"/>
  <c r="R6" i="7"/>
  <c r="E50" i="7" l="1"/>
  <c r="F63" i="7"/>
  <c r="C23" i="6" l="1"/>
  <c r="C24" i="6" s="1"/>
  <c r="C25" i="6" s="1"/>
  <c r="C26" i="6" s="1"/>
  <c r="C27" i="6" s="1"/>
  <c r="C29" i="6"/>
  <c r="C30" i="6" s="1"/>
  <c r="C31" i="6" s="1"/>
  <c r="C41" i="6"/>
  <c r="C42" i="6" s="1"/>
  <c r="C43" i="6" s="1"/>
  <c r="C36" i="6"/>
  <c r="C37" i="6" s="1"/>
  <c r="C38" i="6" s="1"/>
  <c r="C39" i="6" s="1"/>
  <c r="C48" i="6"/>
  <c r="C49" i="6" s="1"/>
  <c r="C50" i="6" s="1"/>
  <c r="C51" i="6" s="1"/>
  <c r="C53" i="6" s="1"/>
  <c r="C54" i="6" s="1"/>
  <c r="C55" i="6" s="1"/>
  <c r="B11" i="2" l="1"/>
  <c r="N9" i="17"/>
  <c r="M9" i="17"/>
  <c r="D8" i="17"/>
  <c r="B14" i="2" l="1"/>
  <c r="B17" i="2" s="1"/>
  <c r="B20" i="2" s="1"/>
  <c r="B23" i="2" s="1"/>
  <c r="B26" i="2" s="1"/>
  <c r="B29" i="2" s="1"/>
  <c r="B32" i="2" s="1"/>
  <c r="B35" i="2" s="1"/>
  <c r="B38" i="2" s="1"/>
  <c r="B41" i="2" s="1"/>
  <c r="C48" i="2"/>
  <c r="C49" i="2" l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K52" i="2" l="1"/>
  <c r="K53" i="2"/>
  <c r="J55" i="2" l="1"/>
  <c r="I55" i="2"/>
  <c r="K55" i="2" l="1"/>
</calcChain>
</file>

<file path=xl/sharedStrings.xml><?xml version="1.0" encoding="utf-8"?>
<sst xmlns="http://schemas.openxmlformats.org/spreadsheetml/2006/main" count="4049" uniqueCount="1296">
  <si>
    <t>STATUS</t>
  </si>
  <si>
    <t>ü</t>
  </si>
  <si>
    <t>REKAPITULASI LAPORAN HARIAN</t>
  </si>
  <si>
    <t>TANGGAL</t>
  </si>
  <si>
    <t>NO</t>
  </si>
  <si>
    <t>PIC</t>
  </si>
  <si>
    <t>PERIHAL</t>
  </si>
  <si>
    <t>JENIS</t>
  </si>
  <si>
    <t>Memo</t>
  </si>
  <si>
    <t>DARI</t>
  </si>
  <si>
    <t>KEPADA</t>
  </si>
  <si>
    <t>VP CCA</t>
  </si>
  <si>
    <t>DIRKOM</t>
  </si>
  <si>
    <t>DIRUT</t>
  </si>
  <si>
    <t>Surat</t>
  </si>
  <si>
    <t xml:space="preserve">MINGGU I </t>
  </si>
  <si>
    <t>1</t>
  </si>
  <si>
    <t>HT</t>
  </si>
  <si>
    <t>Fungsi CC</t>
  </si>
  <si>
    <t>FUNGSI COMMERCIAL CAPACITY</t>
  </si>
  <si>
    <t>LEGAL</t>
  </si>
  <si>
    <t>FINANCE</t>
  </si>
  <si>
    <t>TREASURY</t>
  </si>
  <si>
    <t>OPERATION</t>
  </si>
  <si>
    <t>ABE</t>
  </si>
  <si>
    <t>MONITORING SIKULER PERJANJIAN KOMERSIAL</t>
  </si>
  <si>
    <t>Calmet</t>
  </si>
  <si>
    <t>SL</t>
  </si>
  <si>
    <t>Form</t>
  </si>
  <si>
    <t>CC</t>
  </si>
  <si>
    <t>Manager CC</t>
  </si>
  <si>
    <t>Distribusi Terlampir</t>
  </si>
  <si>
    <t>GM OER</t>
  </si>
  <si>
    <t>PPG</t>
  </si>
  <si>
    <t>OSSA</t>
  </si>
  <si>
    <t>Report</t>
  </si>
  <si>
    <t>Finance</t>
  </si>
  <si>
    <t>KB</t>
  </si>
  <si>
    <t>BPH MIGAS</t>
  </si>
  <si>
    <t>Dirut PERTAGAS</t>
  </si>
  <si>
    <t>OEJA</t>
  </si>
  <si>
    <t>Sekre VP CCA</t>
  </si>
  <si>
    <t>Notulen</t>
  </si>
  <si>
    <t>PERTAGAS</t>
  </si>
  <si>
    <t>PGN</t>
  </si>
  <si>
    <t>MINGGU II</t>
  </si>
  <si>
    <t>Dirkom PERTAGAS</t>
  </si>
  <si>
    <t>ALL</t>
  </si>
  <si>
    <t>Undangan</t>
  </si>
  <si>
    <t>ABE/ANI</t>
  </si>
  <si>
    <t>Rapat</t>
  </si>
  <si>
    <t>Fungsi LC</t>
  </si>
  <si>
    <t>ANI</t>
  </si>
  <si>
    <t>MINGGU IV</t>
  </si>
  <si>
    <t>Dirkom</t>
  </si>
  <si>
    <t>VP BD</t>
  </si>
  <si>
    <t>Peserta Rapat</t>
  </si>
  <si>
    <t>Amendemen PPG</t>
  </si>
  <si>
    <t>SENT</t>
  </si>
  <si>
    <t>MINGGU V</t>
  </si>
  <si>
    <t>Deklarasi</t>
  </si>
  <si>
    <t>Sekre Dirkom</t>
  </si>
  <si>
    <t>PTC</t>
  </si>
  <si>
    <t>MINGGU III</t>
  </si>
  <si>
    <t>SSC</t>
  </si>
  <si>
    <t>Invoice</t>
  </si>
  <si>
    <t>ONSA</t>
  </si>
  <si>
    <t>OTA</t>
  </si>
  <si>
    <t>NSA</t>
  </si>
  <si>
    <t>ORA</t>
  </si>
  <si>
    <t>LUPARD</t>
  </si>
  <si>
    <t>CCA</t>
  </si>
  <si>
    <t>REALISASI</t>
  </si>
  <si>
    <t>PRESENTASE</t>
  </si>
  <si>
    <t>RKAP</t>
  </si>
  <si>
    <t>KOMITE</t>
  </si>
  <si>
    <t>Reimburse</t>
  </si>
  <si>
    <t>Fungsi Legal</t>
  </si>
  <si>
    <t>Nota</t>
  </si>
  <si>
    <t>PLN</t>
  </si>
  <si>
    <t xml:space="preserve">Notulen </t>
  </si>
  <si>
    <t>SPK</t>
  </si>
  <si>
    <t>DINAS</t>
  </si>
  <si>
    <t>CALMET</t>
  </si>
  <si>
    <t>PUSRI</t>
  </si>
  <si>
    <t>Terlampir</t>
  </si>
  <si>
    <t xml:space="preserve"> </t>
  </si>
  <si>
    <t>TAHUN 2023</t>
  </si>
  <si>
    <t>Fungsi Finance</t>
  </si>
  <si>
    <t>LH</t>
  </si>
  <si>
    <t>PHR</t>
  </si>
  <si>
    <t>OWJA</t>
  </si>
  <si>
    <t>Monthly Report</t>
  </si>
  <si>
    <t>Fungsi CS</t>
  </si>
  <si>
    <t>Fungsi OEJA</t>
  </si>
  <si>
    <t>OCSA</t>
  </si>
  <si>
    <t>KETERANGAN</t>
  </si>
  <si>
    <t>Amendemen</t>
  </si>
  <si>
    <t>AREA</t>
  </si>
  <si>
    <t>SHIPPER</t>
  </si>
  <si>
    <t>JENIS PERJANJIAN</t>
  </si>
  <si>
    <t>PERIODE</t>
  </si>
  <si>
    <t>SURAT PERTAGAS</t>
  </si>
  <si>
    <t>Tanggal Perjanjian</t>
  </si>
  <si>
    <t>Tanggal Akhir</t>
  </si>
  <si>
    <t>SSA</t>
  </si>
  <si>
    <t>PT PGN Tbk</t>
  </si>
  <si>
    <t xml:space="preserve">Total </t>
  </si>
  <si>
    <t>PERJANJIAN</t>
  </si>
  <si>
    <t>SH/ANI</t>
  </si>
  <si>
    <t>M-Teams</t>
  </si>
  <si>
    <t>Fungsi HC</t>
  </si>
  <si>
    <t>Fungsi Treasury</t>
  </si>
  <si>
    <t>Data</t>
  </si>
  <si>
    <t>Input Deklarasi di TOUR</t>
  </si>
  <si>
    <t xml:space="preserve">Tagihan </t>
  </si>
  <si>
    <t>BPH Migas</t>
  </si>
  <si>
    <t>INVOICED</t>
  </si>
  <si>
    <t>BARU</t>
  </si>
  <si>
    <t>Surat &amp; Memo</t>
  </si>
  <si>
    <t>Ybs</t>
  </si>
  <si>
    <t>Zoom Meeting</t>
  </si>
  <si>
    <t>TOTAL</t>
  </si>
  <si>
    <t xml:space="preserve">Rapat </t>
  </si>
  <si>
    <t>Offline</t>
  </si>
  <si>
    <t>ABE/LH</t>
  </si>
  <si>
    <t>Audit</t>
  </si>
  <si>
    <t>ANI/LH</t>
  </si>
  <si>
    <t>BA</t>
  </si>
  <si>
    <t>LH/ANI</t>
  </si>
  <si>
    <t>Fungsi ONSA</t>
  </si>
  <si>
    <t>PEP</t>
  </si>
  <si>
    <t>Fungsi SPP</t>
  </si>
  <si>
    <t>Update</t>
  </si>
  <si>
    <t xml:space="preserve">Undangan </t>
  </si>
  <si>
    <t>Update Data</t>
  </si>
  <si>
    <t>Manager GS</t>
  </si>
  <si>
    <t>PKG</t>
  </si>
  <si>
    <t>Sekre Dirut</t>
  </si>
  <si>
    <t>MS Teams</t>
  </si>
  <si>
    <t>TOUR</t>
  </si>
  <si>
    <t>PA</t>
  </si>
  <si>
    <t>NOTA</t>
  </si>
  <si>
    <t>PTGN</t>
  </si>
  <si>
    <t>TEXCAL</t>
  </si>
  <si>
    <t>Fungsi OWJA</t>
  </si>
  <si>
    <t>Ani</t>
  </si>
  <si>
    <t>PT SCE</t>
  </si>
  <si>
    <t>Key Terms</t>
  </si>
  <si>
    <t>DGB BPH MIGAS</t>
  </si>
  <si>
    <t>Sekre VP CCA &amp; Dirkom</t>
  </si>
  <si>
    <t>VP IM</t>
  </si>
  <si>
    <t>Undangan dari Fungsi IM</t>
  </si>
  <si>
    <t>Database</t>
  </si>
  <si>
    <t>PER AREA PT PERTAMINA GAS</t>
  </si>
  <si>
    <t>KPI</t>
  </si>
  <si>
    <t>TAB</t>
  </si>
  <si>
    <t>TW</t>
  </si>
  <si>
    <t>PT Pupuk Iskandar Muda</t>
  </si>
  <si>
    <t>Carry Over</t>
  </si>
  <si>
    <t>I</t>
  </si>
  <si>
    <t>PT PGN Tbk (ARBEL)</t>
  </si>
  <si>
    <t>AMD</t>
  </si>
  <si>
    <t>II</t>
  </si>
  <si>
    <t>Amendemen-III</t>
  </si>
  <si>
    <t>III</t>
  </si>
  <si>
    <t>PT Pertamina (Persero) SPBG</t>
  </si>
  <si>
    <t>IV</t>
  </si>
  <si>
    <t>PT Asrigita Prasarana</t>
  </si>
  <si>
    <t>PPG baru</t>
  </si>
  <si>
    <t>PT Pertamina EP</t>
  </si>
  <si>
    <t>Amendemen-IV</t>
  </si>
  <si>
    <t>PT Kilang Pertamina Internasional</t>
  </si>
  <si>
    <t>REKAPITULASI OTA  TAHUN 2024</t>
  </si>
  <si>
    <t>z</t>
  </si>
  <si>
    <t>1. Jangka Waktu
2. Lampiran-3 Skematik
3. Penyesuaian Toll Fee
4. Tanggung jawab dan ganti rugi USD 100 rb
5.  S &amp; W
6. Gross Losses Vol
7. Penalti losses tidak dikaitkan dengan ICP
8. Komitmen Volume
9. Pemecahan Parties
10. Perubahan DRC harus dengan kesepakatan transporter
11. SSC, JISDOR &amp; TERM SOFR</t>
  </si>
  <si>
    <t>PT SPR Langgak</t>
  </si>
  <si>
    <t>1. SBLC 0,8
2. Bayar jasa 2,58 (potensi pengajuan rekon  sejak awal pengaliran apabila SKK Migas
3.</t>
  </si>
  <si>
    <t>PT AGPWI</t>
  </si>
  <si>
    <t>1. SBLC : menunggu surat dari Treasury ke APGWI
2. Target OTA : Maret 2024</t>
  </si>
  <si>
    <t>RC System</t>
  </si>
  <si>
    <t>[SIRKULER] : Amendemen Side Letter PPG PERTAGAS &amp; PEP di Jawa Barat</t>
  </si>
  <si>
    <t>RAB</t>
  </si>
  <si>
    <t>SH/LH</t>
  </si>
  <si>
    <t/>
  </si>
  <si>
    <t>TAHUN 2024</t>
  </si>
  <si>
    <t>Diskusi</t>
  </si>
  <si>
    <t xml:space="preserve">[SIRKULER] : Amendemen-III PPG antara PERTAGAS &amp; SCE di Area Jawa Timur </t>
  </si>
  <si>
    <t>LH/ABE</t>
  </si>
  <si>
    <t xml:space="preserve">[SIRKULER] : Amendemen PPG PERTAGAS dan KPI </t>
  </si>
  <si>
    <t>LIBUR</t>
  </si>
  <si>
    <t>EHK</t>
  </si>
  <si>
    <t>Und dari Man CS</t>
  </si>
  <si>
    <t>[SIRKULER] : PPG PERTAGAS dan PT Pertamina Patra Niaga - Jawa Barat</t>
  </si>
  <si>
    <t>Sekre Dirkom &amp; Dirut</t>
  </si>
  <si>
    <t>Memo &amp; Surat</t>
  </si>
  <si>
    <t>File Sharing</t>
  </si>
  <si>
    <t>Und dari Finance</t>
  </si>
  <si>
    <t xml:space="preserve">No.034/PG4200/2024-S0 tanggal 29 Februari 2024 perihal Amendemen-V PPG antara PERTAGAS dan PT Petrokimia Gresik (Untuk Area Jawa Bagian Timur) </t>
  </si>
  <si>
    <t xml:space="preserve">No.035/PG4200/2024-S0 tanggal 29 Februari 2024 perihal  Amendemen-V PPG antara PERTAGAS dan PKG (Untuk Area Jawa Timur) </t>
  </si>
  <si>
    <t>Submit ke SSC Payment Approval :             Reimbursement Biaya Rekonsiliasi dan Penandatanganan Berita Acara atas Pengangkutan Minyak Bumi PT Pertamina Hulu Energi Siak</t>
  </si>
  <si>
    <t>Submit ke PTC Deklarasi Surabaya - Malang tgl. 19 – 22 Februari 2024 an. Sulistiani</t>
  </si>
  <si>
    <t xml:space="preserve">Draft Surat &amp; Nota Tanggapan Public Hearing Penetapan Tarif Pengangkutan Gas Bumi Melalui Pipa Ruas Transmisi Gresik-Semarang Milik PT Pertamina Gas </t>
  </si>
  <si>
    <t>Draft FS</t>
  </si>
  <si>
    <t>Diskusi dengan Finance dan rewording draft FS PT PGN Tbk  Perjanjian Penting Desember 2023</t>
  </si>
  <si>
    <t>Und dari FINANCE</t>
  </si>
  <si>
    <t xml:space="preserve">Drafting Memo untuk penyampaian Amendemen-II Side Letter Tarif PERTAGAS &amp; PEP Pipa Tempino </t>
  </si>
  <si>
    <t>[REVISI] : Nota Dirkom kepada Dirut untuk penandatanganan Amendemen PPG PERTAGAS dan KPI (DurDum)</t>
  </si>
  <si>
    <t>Submit ke Fungsi Finance Draft FS PT PGN - Perjanjian Penting Desember 2023 (Revisi)</t>
  </si>
  <si>
    <t>Diskusi dengan Auditor EY dan rewording draft FS PERTAGAS  terkait Kepmen 134K/135K dan 91K</t>
  </si>
  <si>
    <t>Penyampaikan Surat PEMA - Notulen Rapat tgl 29 Feb 2024</t>
  </si>
  <si>
    <t>Share Notulen Rapat PERTAGAS</t>
  </si>
  <si>
    <t xml:space="preserve">Surat </t>
  </si>
  <si>
    <t>Undangan Rapat BPH Migas Monitoring Pelaksanaan GMS &amp; Forum Koordinasi pada KP 72 Ruas Tegalgede-Nagrak, Kamis 21 Maret 2024 di Hotel Alana Sentul</t>
  </si>
  <si>
    <t>No.044/PG4220/2024-S0 tanggal 18 Maret 2024 perihal Tanggapan atas Permohonan Dukungan Keberlanjutan Pengaliran Minyak Mentah dari Wilayah Kerja Siak</t>
  </si>
  <si>
    <t>Direktur PT EMP Siak</t>
  </si>
  <si>
    <t>Persiapan Alih Kelola WK Siak Terkait Pengaliran Minyak Bumi Melalui Pipa Pertagas Ruas Rokan via ZOOMING</t>
  </si>
  <si>
    <t>Rapat BPH Migas Klarifikasi Parameter Review Tarif tgl. 15 Maret 2024 di Bogor</t>
  </si>
  <si>
    <t>Pembahasan Isu Pengangkutan Gas di WJA</t>
  </si>
  <si>
    <t>Dfafting KB Stakeholder Engagement PT Pertamina Gas Tahun 2024 bersama BPH Migas</t>
  </si>
  <si>
    <t>Pembahasan Draft Amendemen PPG PHKT - OKAL</t>
  </si>
  <si>
    <t>SIRKULER] : Amendemen Side Letter PPG PERTAGAS &amp; PEP di Jawa Barat</t>
  </si>
  <si>
    <t>Fungsi Finance'</t>
  </si>
  <si>
    <t>Surat BPH Migas Permohonan Penyesuaian HK GRESEM</t>
  </si>
  <si>
    <t>No.028/PG4000/2024-S0 tanggal 18 Maret 2024 perihal Penyampaian Progress Penyelesaian Outstanding Pembayaran Ship or Pay oleh PT PLN (Persero) pada Pipa Transmisi Ruas Arun-Belawan milik PT Pertamina Gas</t>
  </si>
  <si>
    <t>SAP</t>
  </si>
  <si>
    <t>Create PR Reimbursement  Stakeholder Engagement PT Pertamina Gas Tahun 2024 bersama BPH Migas</t>
  </si>
  <si>
    <t>LUKY</t>
  </si>
  <si>
    <t xml:space="preserve"> [SIRKULER] : Amendemen Side Letter PPG PERTAGAS &amp; PEP di Jawa Barat</t>
  </si>
  <si>
    <t>Rapat Pembahasan Amendemen-VII PPG antara PERTAGAS dan MEB</t>
  </si>
  <si>
    <t>LH/ABE/ANI</t>
  </si>
  <si>
    <t>Rapat Pembahasan Lanjutan Rencana Amendemen PPG PERTAGAS dan PHKT</t>
  </si>
  <si>
    <t>No. 052/PG0000/2024-S0 tanggal 29 Februari 2024 perihal  Tanggapan Public Hearing Penetapan Tarif Pengangkutan Gas Bumi Melalui Ruas Pipa Transmisi Gresik-Semarang Milik PT Pertamina Gas</t>
  </si>
  <si>
    <t>NR-019_PG4220_Pembahasan Permintaan Penyesuaian SOP dan MUT serta DRC PT Mitra Energi Buana_05 Mar 2024</t>
  </si>
  <si>
    <t>Share nomor tiket dari SSC : REQ000005645880 atas tagihan KOMITE dengan nomor invoice : INV-01/KOMITE/NT/II/2024-047</t>
  </si>
  <si>
    <t>021_PG4220_SPK Reimbursement Stakeholder Engagement PERTAGAS &amp; GDP</t>
  </si>
  <si>
    <t xml:space="preserve">[REMINDER] : Amendemen-III PPG antara PERTAGAS &amp; SCE di Area Jawa Timur </t>
  </si>
  <si>
    <t>ANI/SH</t>
  </si>
  <si>
    <t>Update data ke Finance terkait Liabilitas Pembongkaran Aset dan Restorasi Area</t>
  </si>
  <si>
    <t>Drafting Surat dan Memo untuk penyampaiakan Amendemen-II Side Letter Tarif PEP Pipa Tempino</t>
  </si>
  <si>
    <t>Sirkuler ke Dirkom &amp; Dirut Notulen Rapat BPH Migas terkait Pembahasan Penyampaian Simulasi Kapasitas Pipa Transmisi Gresem dlm rangka Penyesuaian HK</t>
  </si>
  <si>
    <t>No.038/PG4200/2024-S0 tanggal 6 Maret 2024 perihal Amendemen-II Side Letter OTA Tempino (Tarif) antara PERTAGAS dengan PEP</t>
  </si>
  <si>
    <t>Submit Monthly Report Februari 2024 an. Sulistiani (PERTAGAS)</t>
  </si>
  <si>
    <t>No.008/PG4220/2024-S0 tanggal 6 Maret 2024 perihal Pengajuan Pengecualian SBLC &amp; Denda Offspec Gas dalam PPG RU VI Balongan</t>
  </si>
  <si>
    <t>Man Treasury</t>
  </si>
  <si>
    <t>Drafting Undangan Rapat Tarif GRESEM di Mercure Sabang 8 Mar 2024</t>
  </si>
  <si>
    <t>Proses sirkuler Surat tanggapan ke IKD perihal Permohonan Tie In Melalui East Java Gas Pipeline (EJGP)</t>
  </si>
  <si>
    <t>IKD</t>
  </si>
  <si>
    <t>Rapat Paparan Tanggapan PERTAGAS atas Public Hearing Penetapan Tarif Pengangkutan Gas Pipa Gresem di Hotel Grand Mercure Sabang</t>
  </si>
  <si>
    <t>Drafting Memo No. 009/PG4220/2024-S8 tanggal 7 Maret 2024 perihal Akomodasi Ruang Rapat Tarif Gresem Pasca Public Hearing BPH Migas</t>
  </si>
  <si>
    <t>No.027/PG4000/2024-S0 tanggal 8 Maret 2024 perihal Kelanjutan Kegiatan Pengangkutan Minyak pada Pipa Minyak Rokan</t>
  </si>
  <si>
    <t>Update Monthly Report Fungsi Commercial Capacity &amp; Asset periode Feb 2024</t>
  </si>
  <si>
    <t xml:space="preserve">No.040/PG4200/2024-S0 tanggal 7 Maret 2024 perihal Amendemen-II Side Letter atas Perjanjian Pengangkutan Minyak Bumi Melalui Pipa Tempino – KM 03 Sei Gerong antara PT Pertamina Gas dengan PT Pertamina EP </t>
  </si>
  <si>
    <t>Update &amp; submit ke Fungsi Finance List of Significant Agreement - Pertagas YE23</t>
  </si>
  <si>
    <t>Input/update Materi BOD BOC Kinerja Februari 2024</t>
  </si>
  <si>
    <t>IZIN SAKIT</t>
  </si>
  <si>
    <t>Update List of Significant Agreement - Pertagas YE23</t>
  </si>
  <si>
    <t>Monitoring sirkuler Amendemen-III PPG antara PERTAGAS dan PLN di SSA (Keramasan)</t>
  </si>
  <si>
    <t>- Monitoring distribusi surat ke TEXCAL perihal Kelanjutan Kegiatan Pengangkutan Minyak pada Pipa Minyak Rokan</t>
  </si>
  <si>
    <t>Pelaporan MIGAS</t>
  </si>
  <si>
    <t>Submit Pelaporan Kegiatan Usaha MIGAS PT Pertamina Gas ke Ditjen MIGAS</t>
  </si>
  <si>
    <t xml:space="preserve"> Input data deklarasi pekerja Fungsi CC di MySAP</t>
  </si>
  <si>
    <t>Submit dokumen tagihan Reimbursement Biaya Rekonsiliasi dan Penandatanganan Berita Acara atas Pengangkutan Minyak Bumi PT Pertamina Hulu Energi Siak ke SSC</t>
  </si>
  <si>
    <t>Data Finance</t>
  </si>
  <si>
    <t xml:space="preserve">Monitoring sirkuler Amendemen-II Side Letter atas Perjanjian Pengangkutan Minyak Bumi Melalui Pipa Tempino – KM 03 Sei Gerong antara PT Pertamina Gas dengan PT Pertamina EP </t>
  </si>
  <si>
    <t>Invoicing SHIPPER</t>
  </si>
  <si>
    <t>Koordinasi dengan Finance terkait invoicing dan Payment SHIPPER PT APGWI</t>
  </si>
  <si>
    <t>Submit ke Fungsi CS Monthly Report CCA (Periode s.d. 29 Februari 2024)</t>
  </si>
  <si>
    <t xml:space="preserve">Rapat Pembahasan dan Klarifikasi Parameter Review Tarif Pengangkutan Gas Bumi Melalui Pipa milik PT Pertamina Gas </t>
  </si>
  <si>
    <t>Monitoring sirkuler Amendemen Side Letter PPG (Gas Offspec) PERTAGAS &amp; PEP di Jawa Barat</t>
  </si>
  <si>
    <t xml:space="preserve">Monitoring sirkuler dokumen hard copy Amendemen PPG antara PERTAGAS dan KPI (Duri Dumai) </t>
  </si>
  <si>
    <t>Sirkuler surat tanggapan dari VP CCA kepada EMP Siak perihal Dukungan Keberlanjutan Pengaliran Minyak Mentah dari Wilayah Kerja Siak.</t>
  </si>
  <si>
    <t>Undangan dari PHKT</t>
  </si>
  <si>
    <t>Monitoring sirkuler dokumen hard copy Amendemen-IV PPG PERTAGAS dan PERTAMINA di WJA (SPBG)</t>
  </si>
  <si>
    <t>Pembahasan Konsolidasi Jadwal Uji Dinamis Meter Batang</t>
  </si>
  <si>
    <t>Drafting Memo Undangan Public Hearing Revisi PBPH Migas No. 20 Tahun 2019</t>
  </si>
  <si>
    <t>Rapat Pembahasan Awal OTA Tempino</t>
  </si>
  <si>
    <t>TKO</t>
  </si>
  <si>
    <t>Pelaporan Migas</t>
  </si>
  <si>
    <t>Pelaksanaan Challenge Session RKAP 2025 Fungsi Direktorat Teknik dan Operasi (ONSA)</t>
  </si>
  <si>
    <t>Input/upload deklarasi pekerja Fungsi Commercial Capacity via TOUR</t>
  </si>
  <si>
    <t>PPN</t>
  </si>
  <si>
    <t>Submit ke SSC Payment Approval Reimbursement Stakeholder Engagement PT Pertamina Gas dan Perlengkapan GDP</t>
  </si>
  <si>
    <t>Surat Tanggapan Penyampaian Review Tarif Pengangkutan Gas Bumi Melalui Pipa PT Pertamina Gas</t>
  </si>
  <si>
    <t xml:space="preserve">Sekre Dirkom </t>
  </si>
  <si>
    <t>No.097/PG0000/2024-S0 tanggal 28 Maret 2024 perihal Penyampaian Dokumen Permohonan Usulan Tarif</t>
  </si>
  <si>
    <t>No.055/PG4200/2024-S0 tanggal 26 Maret 2024 perihal Tanggapan atas Pembangunan Pipa Jumperline GMS HCML–Pipa Open Access Ruas Semare–Porong–Grati di Semare</t>
  </si>
  <si>
    <t>VP TM &amp; VP BD</t>
  </si>
  <si>
    <t>Challenge Session RKAP 2025 Fungsi Direktorat Teknik dan Operasi (OKAL)</t>
  </si>
  <si>
    <t xml:space="preserve">Update dan submit Form SK dan BAEK Fasilitas Customer Financing - PAE </t>
  </si>
  <si>
    <t>Share undangan BPH MIGAS ke Sekre Dirut &amp; Sekretaris DTO (ONSA &amp; OKA) Rapat Persiapan Sampling &amp; Analisis Kualitas Gas pada Pipa Wilayah Kalimantan Timur dan Sumatera Tahap III TA 2024</t>
  </si>
  <si>
    <t>Surat BPH MIGAS - Data/Dokumen Pendukung Ruas Gresem</t>
  </si>
  <si>
    <t>Challenge Session RKAP 2025 Fungsi Direktorat Teknik dan Operasi (OWJA)</t>
  </si>
  <si>
    <t>Und dari IM</t>
  </si>
  <si>
    <t xml:space="preserve">Update data SPK Penyediaan Seragam Golf Tim Ditkom HUT Pertagas </t>
  </si>
  <si>
    <t>Paymend Approval : DONE</t>
  </si>
  <si>
    <t xml:space="preserve">PPG antara PERTAGAS dan PT Pertamina Patra Niaga (untuk Area Integrated  Terminal Balongan) </t>
  </si>
  <si>
    <t>Dok hard copy : sent to PPN (23/04/2024)</t>
  </si>
  <si>
    <t>[REMINDER] : Amendemen Side Letter PPG PERTAGAS &amp; PEP di Jawa Barat</t>
  </si>
  <si>
    <t>No.104/PG0000/2024-S0 tanggal 01 April 2024 perihal Penyampaian Kelengkapan Dokumen Pendukung Penetapan Tarif Ruas Gresik-Semarang</t>
  </si>
  <si>
    <t>Final Review Usulan RKAP 2025 CCA untuk Diajukan kepada Direktur Komersial</t>
  </si>
  <si>
    <t>Koordinasi dengan KOMITE terkait dokumen SSC tagihan Reimbursement Stakeholder Engagement PT Pertamina Gas dan Perlengkapan GDP</t>
  </si>
  <si>
    <t>No.107/PG0000/2024-S0 tanggal 01 April 2024 Tanggapan Penyampaian Review Tarif Pengangkutan Gas Bumi melalui Pipa PT Pertamina Gas</t>
  </si>
  <si>
    <t>040/PG4000/2024-S0 tanggal 3 April 2024 perihal Kelanjutan Kegiatan Pengangkutan Minyak pada Pipa Minyak Rokan</t>
  </si>
  <si>
    <t>Drafting Memo &amp; &amp; surat untuk penyampaian PPG antara PERTAGAS dan PT Pertamina Patra Niaga di Jawa Barat</t>
  </si>
  <si>
    <t>Monitoring proses sirkuler Amendemen-II PPG PGN Arbel &amp; Amendemen PPG PGN SSA</t>
  </si>
  <si>
    <t>Keberlanjutan Pengaliran Gas PLN Keramasan</t>
  </si>
  <si>
    <t>Rapat Koordinasi atas Penerapan Perjanjian Kerjasama Pemanfaatan Fasilitas, Pengoperasian dan Pemeliharaan Fasilitas Penyaluran Gas Bumi dengan PT Seamless Pipe Indonesia Jaya (SPIJ)</t>
  </si>
  <si>
    <t>Und dari OWJA</t>
  </si>
  <si>
    <t>NGSPA</t>
  </si>
  <si>
    <t>Monitoring sirkuler Natural Gas Sales and Purchase Agreement (NGSPA) PT KMI</t>
  </si>
  <si>
    <t>Input/upload deklarasi pekerja Fungsi CC ke TOUR &amp; MySAP</t>
  </si>
  <si>
    <t>Submit Laporan Kegiatan Usaha Minyak Bumi melalui Pipa Rokan Milik PT Pertamina Gas periode bulan Maret 2024</t>
  </si>
  <si>
    <t>DJMIGAS</t>
  </si>
  <si>
    <t>Fwd Surat PHR No 117/PHR85000/2024-S0 tentang Usulan Amandemen terhadap OTA</t>
  </si>
  <si>
    <t>Sirkuler surat tanggapan ke PKG perihal Pembangunan Pipa Jumperline GMS HCML</t>
  </si>
  <si>
    <t>061_PG4200_Tanggapan atas Pengajuan Pengecualian SBLC dan Denda OffSpec Gas dalam PPG untuk RU VI Balongan</t>
  </si>
  <si>
    <t>Submit Pelaporan Kegiatan Usaha MIGAS PT Pertamina Gas periode Maret 2024 (Pipa Minyak Rokan)</t>
  </si>
  <si>
    <t>Submit Pelaporan Kegiatan Usaha MIGAS PT Pertamina Gas periode Maret 2024 (Pipa Minyak Tempino)</t>
  </si>
  <si>
    <t xml:space="preserve">No.059/PG4200/2024-S0 tanggal 5 April 2024 perihal PPG antara PERTAGAS dan PT Pertamina Patra Niaga (untuk Area Integrated  Terminal Balongan) </t>
  </si>
  <si>
    <t>Submit ke PTC Monthly Report Maret 2024 an. Sulistiani (PERTAGAS)</t>
  </si>
  <si>
    <t>No.063/PG4200/2024-S1 tanggal 9 April 2024 perihal Keberlanjutan Pengaliran Gas PLN Keramasan</t>
  </si>
  <si>
    <t>Pembahasan Draft KPI Fungsi CCA tahun 2024</t>
  </si>
  <si>
    <t>Koordinasi dengan PIC PLN terkait proses sirkuler Amendemen-III PPG antara PERTAGAS dengan PLN dan PLN EPI di SSA (Keramasan)</t>
  </si>
  <si>
    <t>Submit evidence Risk ke Fungsi SPP terkait optimalisasi pipa Rokan (OTA dan BA Pencatatan &amp; Peagihan atas pengangkutan minyak antara PERTAGAS dengan BSP)</t>
  </si>
  <si>
    <t>Fwd undangan Undangan Rapat BPH Migas - Permohonan Usulan Tarif Ruas Wunut-EJGP &amp; Balongan-Mundu (Looping), Kamis 25 April 2024</t>
  </si>
  <si>
    <t>Paralal proses disposisi Dirut</t>
  </si>
  <si>
    <t>Koordinasi dengan KOMITE terkait proses review KB kegiatan  Stakeholder Engagement PERTAGAS 2024 bersama BPH MIGAS</t>
  </si>
  <si>
    <t>Monthly Meeting Kinerja Dit. Komersial Periode Maret 2024</t>
  </si>
  <si>
    <t>[REMINDER] : Amendemen-II PPG PGN NSA dan Amendemen PPG PGN SSA</t>
  </si>
  <si>
    <t>Drafting Calender Meeting PT LNG Pembahasan Perjanjian Pengangkutan Gas Melalui Pipa Jawa Timur</t>
  </si>
  <si>
    <t xml:space="preserve">Drafting Memo penyampaian Amendemen PPG PERTAGAS dan KPI </t>
  </si>
  <si>
    <t xml:space="preserve">Pembahasan lanjutan pengangkutan Gas untuk RU VI </t>
  </si>
  <si>
    <t>Und dari KPI</t>
  </si>
  <si>
    <t>Submit ke SSC Payment Approval Penyediaan Jasa dan Pengadaan Seragam Tim Direktorat Komersial di Fun Golf HUT ke-17 PT Pertamina Gas</t>
  </si>
  <si>
    <t>Rapat bersama PT Lestari Nasional Gas Pembahasan Perjanjian Pengangkutan Gas di Wilayah Jawa Timur</t>
  </si>
  <si>
    <t>Progress Report CISEM</t>
  </si>
  <si>
    <t>Submit ke Ditjen Migas perihal Progress Report Pembangunan Pipa Gas Bumi Ruas Cirebon – Semarang</t>
  </si>
  <si>
    <t>Distribusi Notulen Rapat pembahasan Rencana Pemanfaatan Pipa Open Access Milik PT Pertamina Gas di Wilayah Jatim oleh PT Lestari Nasional Gas</t>
  </si>
  <si>
    <t>No.130/PG0000/2024-S0 tanggal 22 April 2024 perihal Tanggapan atas Pembangunan Pipa Jumperline GMS HCML-Pipa Open Access Ruas Semare-Porong-Grati di Semare</t>
  </si>
  <si>
    <t>GM PT HCML</t>
  </si>
  <si>
    <t>Rapat Lanjutan Pembahasan Amendemen OTA Tempino</t>
  </si>
  <si>
    <t>Drafting Calender Meeting Undangan Rapat BPH Migas - Permohonan Usulan Tarif Ruas Wunut-EJGP &amp; Balongan-Mundu (Looping), Kamis tgl 25 April 2024</t>
  </si>
  <si>
    <t>Rapat Pembahasan Tindak Lanjut Hasil Audit Internal</t>
  </si>
  <si>
    <t>Und dari Fungsi IA</t>
  </si>
  <si>
    <t>Monitoring sirkuler Amendemen-IV PPG antara PERTAGAS &amp; PERTAMINA (Persero) untuk SPBG Jawa Barat</t>
  </si>
  <si>
    <t>Drafting Calender Meeting PUSRI - Finalisasi Amendemen-IV PPG PUSRI WK Corridor &amp; Pengaliran Jambi Merang &amp; Pengaliran Jambi Merang, Selasa 30 Mei 2024 di RR. Bitung</t>
  </si>
  <si>
    <t>Rapat bersama LEMIGAS Persyaratan Toll Fee Pipa CISEM</t>
  </si>
  <si>
    <t>Und dari LEMIGAS</t>
  </si>
  <si>
    <t>No.066/PG4200/2024-S0 tanggal 25 April 2024 perihal Izin Usaha Pengangkutan Pipa Minyak Rokan PT Pertamina Gas</t>
  </si>
  <si>
    <t>Drafting Undangan Rapat Koordinasi dan Stakeholder Engagement di Jawa Timur</t>
  </si>
  <si>
    <t>Fwd : Surat IAE perihal Permohonan Adjustment terhadap Perhitungan SOP Periode 2023</t>
  </si>
  <si>
    <t>Koordinasi dengan KOMITE proses sirkuler KB Stakeholder Engagement PERTAGAS 2024 bersama BPH MIGAS</t>
  </si>
  <si>
    <t xml:space="preserve">No.065/PG4200/2024-S0 tanggal 24 April 2024 perihal Amendemen PPG antara PERTAGAS dan PT Kilang Pertamina Internasional (Durdum) </t>
  </si>
  <si>
    <t>[REMINDER] : sirkuler Amendemen-II PPG PERTAGAS &amp; PGN (Arbel)</t>
  </si>
  <si>
    <t xml:space="preserve">Koordinasi dengan ICT terkait Akses File Sharing Transportasi </t>
  </si>
  <si>
    <t>No.045/PG4000/2024-S0 tanggal 29 April 2024 perihal Kelanjutan Kegiatan Pengangkutan Minyak SPRL di Pipa Minyak Rokan</t>
  </si>
  <si>
    <t>Rapat Finalisasi Amendemen-IV PPG PERTAGAS &amp; PUSRI Grispus (WK Corridor dan WK Jambi Merang)</t>
  </si>
  <si>
    <t>Drafting Notulen Rapat PERTAGAS &amp; PUSRI</t>
  </si>
  <si>
    <t>Drafting Nota Settlement Cash Card Manager Commercial Capacity Periode April 2024</t>
  </si>
  <si>
    <t>Rapat PD TW I 2024 Manager Commercial Capacity</t>
  </si>
  <si>
    <t>Amendemen OTA PERTAGAS dan PHR</t>
  </si>
  <si>
    <t>[CALMET] : Pembahasan Rencana Kerjasama PERTAGAS &amp; IKD di PIER-2, Senin 20 Mei 2024 di RR. Cikarang - Palembang pkl. 14.30 WIB - selesai</t>
  </si>
  <si>
    <t>Meneruskan surat dari Direktur Gas Bumi BPH Migas No.T-152/MG.01/DGBP/2024 tgl. 17 Mei 2024 perihal Tindak Lanjut Penyampaian Dokumen Usulan Tarif Pertagas</t>
  </si>
  <si>
    <t>Sharing Notulen NR-041_PG4220_Notulen PD TW I 2024 Manager Commercial  Capacity_20 Mei 2024</t>
  </si>
  <si>
    <t>Sharing NR-042_PG4220_Notulen Amendemen OTA PERTAGAS dan PHR_20 Mei 2024</t>
  </si>
  <si>
    <t>Sharing BA Pemeriksaaan Fisik Ruas Pipa GRESEM Jatim-Jateng_17 Mei 2024</t>
  </si>
  <si>
    <t>Input/upload data PERJANJIAN di RC System</t>
  </si>
  <si>
    <t>IUT Cisem</t>
  </si>
  <si>
    <t>Koordinasi dengan PIC Migas IUT Cisem terkait FS</t>
  </si>
  <si>
    <t>[CALMET] : Rapat Amendemen OTA PERTAGAS dan PHR, Senin 20 Mei 2024 di RR. Cambai pkl.09.00 WIB - selesai</t>
  </si>
  <si>
    <t>My SSC</t>
  </si>
  <si>
    <t xml:space="preserve">Sharing nomor tiket dari SSC : REQ000005880748 atas tagihan KOMITE dengan nomor invoice : INV-01/KOMITE/KB/IV/2024-095 </t>
  </si>
  <si>
    <t>Status : INVOICED di MySAP</t>
  </si>
  <si>
    <t>SOP PGN tahun 2021</t>
  </si>
  <si>
    <t>Waiting - Approval</t>
  </si>
  <si>
    <t>Deklarasi Pekerja an. Sulistiani ke Semarang tg. 2 - 3 Mei 2024</t>
  </si>
  <si>
    <t>COE</t>
  </si>
  <si>
    <t xml:space="preserve">Input &amp; submit Calender of Event Fungsi CC </t>
  </si>
  <si>
    <t>Sharing PPG beserta Amendemen PERJANJIAN ke Man CC (PGN Arbel dan SSA)</t>
  </si>
  <si>
    <t>Pjs. Manager CC</t>
  </si>
  <si>
    <t>Monitoring sirkuler Amendemen II PPG NSA dan Amendemen PPG SSA</t>
  </si>
  <si>
    <t>Settlement
KB</t>
  </si>
  <si>
    <t>Update &amp; submit Settlement Stakeholder Engagement PERTAGAS (Golf BPH Migas dan SKK Migas)</t>
  </si>
  <si>
    <t>Sharing soft copy Amendemen III KB PPG antara PERTAGAS dengan PIM (untuk Wilayah Aceh)</t>
  </si>
  <si>
    <t>Corsec, ONSA, Finance &amp; Treasury</t>
  </si>
  <si>
    <t>[CALMET] : Site Visit BPH Migas dalam Rangka Penyesuaian HK GRESEM, Jum'at 17 Mei 2024</t>
  </si>
  <si>
    <t>Site Visit BPH Migas dalam Rangka Penyesuaian HK GRESEM, 16 - 18 Mei 2024 di Ruas Pipa GRESEM</t>
  </si>
  <si>
    <t>BA Gas Balance PLN Jawa Barat Periode Maret, Agustus dan Desember 2023</t>
  </si>
  <si>
    <t>PLN (Req. Mas Dicky)</t>
  </si>
  <si>
    <t>Sharing draft Notulen &amp; Materi Pemaparan Rapat Amendemen PPG PLN MK-MT</t>
  </si>
  <si>
    <t xml:space="preserve">PERTAGAS &amp; PLN </t>
  </si>
  <si>
    <t>M-Teams Meeting</t>
  </si>
  <si>
    <t>Monthly Meeting Dit. Komersial Periode April 2024</t>
  </si>
  <si>
    <t>[OFFLINE] : Tindak Lanjut Surat Montd'or terkait dengan evaluasi ketentuan OTA</t>
  </si>
  <si>
    <t>Koordinasi dengan PUSRI proses sirkuler Amendemen-IV PPG PUSRI WK Corridor dan WK Jambi Merang</t>
  </si>
  <si>
    <t>Input deklarasi pekerja Fungsi CC di MySAP</t>
  </si>
  <si>
    <t>Pelaporan kegiatan MIGAS PERTAGAS</t>
  </si>
  <si>
    <t>Pelaporan Kegiatan Usaha MIGAS Periode April 2024 (Pipa Tempino dan Pipa Rokan)</t>
  </si>
  <si>
    <t>No.071/PG4200/2024-S0 tanggal 7 Mei 2024 perihal Konfirmasi Terminasi Penyaluran Minyak Shipper PBMS Jambi melalui Pipa Tempino–KM 03 Sei Gerong &amp; Pengalihan ke Shipper PEP</t>
  </si>
  <si>
    <t>MySSC</t>
  </si>
  <si>
    <t xml:space="preserve">[REQUEST] : Perubahan Submitter i-Pro di My SSC </t>
  </si>
  <si>
    <t>Rapat Pembahasan Ketentuan Penagihan dan Pembayaran KB EMP - Pertagas di Pipa Rokan</t>
  </si>
  <si>
    <t>Submit Monthly Report April 2024 an. Sulistiani</t>
  </si>
  <si>
    <t>Pembahasan Internal Tindak Lanjut LO Jamdatun</t>
  </si>
  <si>
    <t>Und dari LEGAL</t>
  </si>
  <si>
    <t>Rapat Penyaluran Gas ASRIGITA via ZOOM Meeting</t>
  </si>
  <si>
    <t>[TOUR] : Update Pekerja Fungsi Commercial Capacity &amp; Approval an. Rendy Prayuda</t>
  </si>
  <si>
    <t>Surat PTG ke PEP terkait status PBMS Jambi</t>
  </si>
  <si>
    <t>PIC TOUR</t>
  </si>
  <si>
    <t xml:space="preserve">Sharing nomor tiket dari SSC : REQ000005875217 atas tagihan KOMITE dengan nomor invoice : INV-01/KOMITE/NT/IV/2024-100 </t>
  </si>
  <si>
    <t xml:space="preserve">No.139/PG0000/2024-S0 tanggal 3 Mei 2024 perihal Penyampaian Dokumen Data Dukung Permohonan Tarif Ruas Semarang – Batang (Cisem Tahap-1), </t>
  </si>
  <si>
    <t>Surat ke PBMSJ perihal Konfirmasi terminasi penyaluran minyak Shipper PBMS Jambi melalui pipa Tempino – KM 03 Sei. Gerong dan  pengalihan ke Shipper PEP</t>
  </si>
  <si>
    <t>Submit Payment Approval ke SSC - Reimbursement Biaya Kebutuhan Stakeholder Engagement PT Pertamina Gas tahun 2024 dengan BPH Migas</t>
  </si>
  <si>
    <t>STATUS MySAP : INVOICED</t>
  </si>
  <si>
    <t>[CALMET] : Rapat Biaya Penyalura Gas WK Gebang kepada PIM, Rabu 8 Mei 2024 pkl.13.30 WIB - selesai</t>
  </si>
  <si>
    <t xml:space="preserve">Sharing Notulen Rapat 2 Mei 2024 antara PERTAGAS, BPH MIGAS, LEMIGAS &amp; DJMIGAS dengan agenda Progress Perhitungan Tarif Ruas Pipa Semarang – Batang (Cisem Tahap I).  </t>
  </si>
  <si>
    <t xml:space="preserve">[SIRKULER] : Amendemen-III PPG antara PERTAGAS dengan PT SCE untuk Area Jawa Timur </t>
  </si>
  <si>
    <t>- 06/05/2024 : Dokumen hard copy PERJANJIAN dikirim ke SCE</t>
  </si>
  <si>
    <t>Meneruskan undangan dari BPH Migas perihal Rapat Presentasi Usulan Tarif Ruas Semarang-Batang (Cisem Tahap I),Selasa 7 Mei 2024 di The Margo Hotel Depok</t>
  </si>
  <si>
    <t xml:space="preserve">Rapat Presentasi Permohonan Penyesuaian Hak Khusus GRESEM di Hotel Trembesi </t>
  </si>
  <si>
    <t>Und dari BPH MIGAs</t>
  </si>
  <si>
    <t>Submit Payment Approval - Penyediaan Jasa dan Pengadaan Seragam Tim Direktorat Komersial di Fun Golf HUT ke-17 PT Pertamina Gas</t>
  </si>
  <si>
    <t>Rp. 35.320.912 (termasuk PPn)</t>
  </si>
  <si>
    <t>Dinas</t>
  </si>
  <si>
    <t>Site Visit ke Pipa CISEM bersama BPH Migas, LEMIGAS dan DJMIGAS</t>
  </si>
  <si>
    <t>Input/upload deklarasi pekerja Fungsi CC ke MySAP</t>
  </si>
  <si>
    <t>[SIRKULER] : Keyterms Perjanjian Pengangkutan Gas antara PERTAGAS - PEMA</t>
  </si>
  <si>
    <t>Seremoni</t>
  </si>
  <si>
    <t>Koordinasi dengan Sekre Dirut terkait rencana Seremoni Signing Keyterms PEMA</t>
  </si>
  <si>
    <t>Koordinasi Update Nomor Rekening Pekerja di MySAP untuk Deklarasi an. Abrorie</t>
  </si>
  <si>
    <t>Memi</t>
  </si>
  <si>
    <t>Drafting Memo Pelaporan Kegiatan Migas PERTAGAS ke Ditjen Migas</t>
  </si>
  <si>
    <t>Proses review Pjs. Manager CC</t>
  </si>
  <si>
    <t>MINGGU IIII</t>
  </si>
  <si>
    <t>TRAINING</t>
  </si>
  <si>
    <t>HARI RAYA WAISAK</t>
  </si>
  <si>
    <t>CUTI BERSAMA</t>
  </si>
  <si>
    <t>Drafting Surat tanggapan ke BPH Migas dan Nota perihal Dokumen/Data Dukung Pengajuan Toll Fee Pipa Gas Ruas Semarang - Batang (Cisem Tahap I)</t>
  </si>
  <si>
    <t>Update Nomor Rekening Pekerja di MySAP untuk Deklarasi an. Abrorie</t>
  </si>
  <si>
    <t>Copy Buku Rek Mandiri Mas Abe sent to Isti</t>
  </si>
  <si>
    <t>Rapat Pembahasan Rencana Pemanfaatan Fasilitas antara Pertagas, Senin 27 Mei 2024 di kantor OEJA</t>
  </si>
  <si>
    <t>SIER dan IKD</t>
  </si>
  <si>
    <t>Rapat PD TW I 2024 VP Commercial Capacity &amp; Asset</t>
  </si>
  <si>
    <t>Review draft TKO Customer Financing</t>
  </si>
  <si>
    <t>Drafting Memo Penyampaian Amendemen-III KB GTA PIM dan BA Terminasi OTA PERTAGAS dengan PHE Siak</t>
  </si>
  <si>
    <t xml:space="preserve">[SIRKULER] :  Amendemen II PPG PNG NSA dan Amendemen PPG PGN SSA </t>
  </si>
  <si>
    <t>RP</t>
  </si>
  <si>
    <t>Und dari BPH Migas</t>
  </si>
  <si>
    <t>ANi</t>
  </si>
  <si>
    <t>PIM</t>
  </si>
  <si>
    <t>No.092/PG4200/2024-So tanggal 11 Juni 2024 perihal Spesifikasi CO2 Penyaluran Gas ke RU IV Cilacap</t>
  </si>
  <si>
    <t>Rapat Revisi RKAP 2024</t>
  </si>
  <si>
    <t>Monthly Meeting Direktorat Komersial Periode Mei 2024</t>
  </si>
  <si>
    <t>Monitoring sirkuler TKO Customer Financing</t>
  </si>
  <si>
    <t>Compile dan Submit Pelaporan Kegiatan Usaha MIGAS PERTAGAS Periode Mei 2024</t>
  </si>
  <si>
    <t>Submit Klaim Reimburse Kesehatan Pekerja an. Luky Hananto</t>
  </si>
  <si>
    <t>Rapat Pembahasan Mekanisme Pembayaran EMP Gandewa</t>
  </si>
  <si>
    <t>Update dan Submit Materi Monthly Fungsi CCA Periode Mei 2024</t>
  </si>
  <si>
    <t>Koordinasi dengan Fungsi Finance terkait proses invoicing PT BSP</t>
  </si>
  <si>
    <t>Proses Sirkuler Nota Dirkom ke Dirut untuk Penandatanganan Amendemen-IV PPG PERTAGAS dan PERTAMINA untuk SPBG di Area Jawa Barat</t>
  </si>
  <si>
    <t xml:space="preserve">[SIRKULER] : Keyterms Perjanjian Pengangkutan Gas antara PERTAGAS - PEMA </t>
  </si>
  <si>
    <t>Meneruskan undangan dari DJMIGAS terkait Site Visit DJIMIGAS  Evaluasi &amp; Klarifikasi Permohonan Penyesuaian Izin Usaha PERTAGAS (IUT Cisem), tgl 20-21 Juni 2024</t>
  </si>
  <si>
    <t>Drafting Surat Undangan Rapat Finalisasi PPG antara PERTAGAS dengan ASRIGITA di Kantor OSSA, Kamis 13 Juni 2024</t>
  </si>
  <si>
    <t>[CALMET] : Rapat Finalisasi PPG antara PERTAGAS dengan ASRIGITA di Kantor OSSA, Kamis 13 Juni 2024</t>
  </si>
  <si>
    <t>[SIRKULER] : Amendemen-II PPG PGN Arbel dan Amendemen PPG PGN SSA</t>
  </si>
  <si>
    <t>Pembahasan Impairment PERTAGAS TW I tahun 2024</t>
  </si>
  <si>
    <t>Input dan update Materi BOD BOC PERTAGAS periode Mei 2024</t>
  </si>
  <si>
    <t>Koordinasi dengan KOMITE terkait KB Safram PERTAGAS, Site Visit ke Pipa Transmisi Ruas Cisem, Gresem dan Stakeholder Engagement PT Pertamina Gas</t>
  </si>
  <si>
    <t>Koordinasi dengan Fungsi Finance terkait proses invoice PT APGWI</t>
  </si>
  <si>
    <t>Input dan Submit Rekapitulasi biaya stakeholder engagement fungsi Commercial Capacity tahun 2024</t>
  </si>
  <si>
    <t>Pembahasan Permohonan Penetapan Alokasi dan Pemanfaatan serta  Harga Gas Bumi dari Wilayah kerja Gebang kepada PT Pupuk  Iskandar Muda (“PIM”)</t>
  </si>
  <si>
    <t>Rapat Pembahasan TKO Customer Financing</t>
  </si>
  <si>
    <t>Rapat Pembahasan PPG antara PERTAGAS dengan PLN EPI dan Rencana Pengaliran Gas MK-MT</t>
  </si>
  <si>
    <t>Rapat Pembahasan Perjanjian Pengangkutan Gas antara PERTAGAS dan PT Asrigita Prasarana</t>
  </si>
  <si>
    <t>Public Hearing BPH Migas Penetapan Tarif Pengangkutan GRESEM</t>
  </si>
  <si>
    <t>Pembahasan Penyesuaian Perjanjian Pengangkutan Gas Medco - PLN - PLN EPI di Sumatera Selatan</t>
  </si>
  <si>
    <t>- Notulen Rapat PERTAGAS - BPH Migas Tindak Lanjut Kelengkapan Dokumen Usulan Tarif Ruas Semarang - Batang (Cisem Tahap I)
- NR PERTAGAS-BPH Migas Tindak Lanjut Penetapan Tarif Ruas Wunut-EJGP &amp; Balongan-Mundu (Looping) Milik PERTAGAS</t>
  </si>
  <si>
    <t>Public Hearing Penetapan Tarif GRESEM, Rabu 5 Juni 2024 di Avenzel Hotel</t>
  </si>
  <si>
    <t>No.016/PG4220/2024-S0 tanggal 30 Mei 2024 perihal undangan Rapat Pembahasan PPG antara PERTAGAS dan PLN EPI, Senin 3 Juni 2024 pkl. 13.30 WIB - selesai</t>
  </si>
  <si>
    <t>No.023/PG4220/2024-S0 tanggal 14 Maret 2024 dengan agenda NR-023_PG4220_Pembahasan Rencana Pengangkutan Gas PT Asrigita Prasarana di Area Sumatera Bagian Selatan tgl. 14 Maret 2024</t>
  </si>
  <si>
    <t>LIBUR HARI RAYA IDUL ADHA 1455 H</t>
  </si>
  <si>
    <t>CUTI BERSAMA HARI RAYA IDUL ADHA</t>
  </si>
  <si>
    <t>ANI/ABE</t>
  </si>
  <si>
    <t xml:space="preserve">
Site Visit DJMIGAS dalam Rangka Evaluasi dan Klarifikasi Permohonan Penyesuaian Izin Usaha CISEM</t>
  </si>
  <si>
    <t>CUTI</t>
  </si>
  <si>
    <t>Rapat Pembahasan Tindak Lanjut Outstanding Temuan Internal Audit Fungsi CCA tahun 2024</t>
  </si>
  <si>
    <t>NFS</t>
  </si>
  <si>
    <t>No.157/PG0000/2024-S0 tanggal 27 Mei 2024 perihal Penyampaian Dokumen dan Data Dukung Usulan Penetapan Tarif Pengangkutan Ruas Pipa Semarang – Batang (Cisem I)</t>
  </si>
  <si>
    <t>[Fwd] :  Surat EHK No. 0664 - Perubahan Bank Penerbit SBLC kepada PT Pertamina Gas</t>
  </si>
  <si>
    <t>Receipt Email : Sekre Dirut</t>
  </si>
  <si>
    <t>Korespondensi</t>
  </si>
  <si>
    <t>Rapat Internal Pembahasan Awal Rencana Pengaliran Kondensat PT Pertamina EP ke Pipa Tempino</t>
  </si>
  <si>
    <t>Supporting dokumen ke Fungsi Legal Notulen Rapat dan Korespondensi antara PERTAGAS dan PEMA untuk proses review draft Key Terms PPG</t>
  </si>
  <si>
    <t>Monthly Report Mei 2024 an. Sulistiani (PERTAGAS)</t>
  </si>
  <si>
    <t>[SIRKULER] : Amendemen-IV PPG PERTAGAS dan Pertamina di Jawa Barat (SPBG)</t>
  </si>
  <si>
    <t>[SIRKULER] :  Amendemen-IV PPG antara PERTAGAS &amp; PUSRI WK Corridor (Grispus)</t>
  </si>
  <si>
    <t xml:space="preserve"> Koordinasi dengan Fungsi Finance terkait bukti pembayaran SHIPPER APGWI untuk submit data SI </t>
  </si>
  <si>
    <t>Input dan upload data Deklarasi Pekerja Fungsi Commercial Capacity via TOUR</t>
  </si>
  <si>
    <t>Input dan update data Monthly Report Fungsi Commercial Capacity &amp; Asset periode Mei 2024</t>
  </si>
  <si>
    <t>Drafting  KB perihal Reimbursement Biaya Safram PERTAGAS, Site Visit ke Pipa Transmisi Ruas Cisem, Gresem dan Stakeholder Engagement PT Pertamina Gas</t>
  </si>
  <si>
    <t xml:space="preserve">Koordinasi dengan Fungsi Finance terkait sirkuler  Keyterms Perjanjian Pengangkutan Gas antara PERTAGAS - PEMA </t>
  </si>
  <si>
    <t>No.173/PG000/2024-S0 tanggal 12 Juni 2024 perihal Pengangkutan Minyak Bumi pada Pipa Minyak Rokan</t>
  </si>
  <si>
    <t>SKK MIGAS</t>
  </si>
  <si>
    <t>Input dan submit deklarasi pekerja Fungsi Commercial Capacity di MySAP</t>
  </si>
  <si>
    <t xml:space="preserve"> Submit Pelaporan Kegiatan Usaha MIGAS PERTAGAS (Pipa Minyak Rokan dan Tempino) Periode Mei 2024</t>
  </si>
  <si>
    <t>[SIRKULER] : Amendemen-IV PPG antara PERTAGAS dengan PUSRI (Grispus) WK Corridor &amp; WK Jambi Merang</t>
  </si>
  <si>
    <t>[SIRKULER] : PPG antara PERTAGAS dengan KPI di Jawa Barat</t>
  </si>
  <si>
    <t>Distribusi BA Pembayaran Sementara TEXCAL ke fungsi internal PERTAGAS</t>
  </si>
  <si>
    <t>Webinar</t>
  </si>
  <si>
    <t>Implementasi Persetujuan Kesesuaian Kegiatan Pemanfaatan Ruang (PKKPR) di PT Pertamina Gas</t>
  </si>
  <si>
    <t>Diskusi dan Konfirmasi Akun ERP (mySAP) dan Non ERP (P2P, Smart GEP dan I-Pro) setiap Fungsi</t>
  </si>
  <si>
    <t>Und Dari ICT</t>
  </si>
  <si>
    <t xml:space="preserve">Drafting Nota Dirkom kepada Dirut untuk penandatanganan Amendemen IV PPG PPG Jawa Barat Pertagas - Pertamina Untuk Kebutuhan SPBG </t>
  </si>
  <si>
    <t>Drafting Nota Dirkom kepada Dirut untuk penandatanganan Key Terms PPG antara PERTAGAS dan PEMA</t>
  </si>
  <si>
    <t>MC</t>
  </si>
  <si>
    <t>Commercial Offline Learning &amp; Sharing (CORNERS) ke-17  topik ”TIME VALUE OF MONEY : Timeless Principal”</t>
  </si>
  <si>
    <t>Drafting Memo VP CCA untuk Penyampaian Hak Khusus GRESEM (Penyesuaian ke-2) ke fungsi terkait PERTAGAS</t>
  </si>
  <si>
    <t>[SIRKULER] : PPG antara PERTAGAS &amp; ASRIGITA di SSA</t>
  </si>
  <si>
    <t>Rapat Penjelasan Prosedur Tie-in PT Pertagas Niaga</t>
  </si>
  <si>
    <t>Und dari IMO</t>
  </si>
  <si>
    <t>Submit KB Reimbursement Stakeholder Engagement PT Pertamina Gas tahun 2024 (BPH Migas)</t>
  </si>
  <si>
    <t>No. 105/PG4200/2024-S0 tanggal 25 Juni 2024 perihal Penyesuaian Hak Khusus Pengangkutan Gas Bumi Melalui  Pipa Transmisi Ruas Gresik – Semarang PT Pertamina Gas</t>
  </si>
  <si>
    <t>Drafting surat ke PERTAMINA untuk Penyampaian Amendemen-IV PPG antara PT Pertamina Gas dan PT Pertamina (Persero) Untuk Kebutuhan SPBG di Jawa Barat</t>
  </si>
  <si>
    <t xml:space="preserve">Nota Dirkom ke Dirut untuk penandatanganan Surat ke SIER </t>
  </si>
  <si>
    <t>Nota dan Surat</t>
  </si>
  <si>
    <t>Deklarasi Pekerja an. Sulistiani (PERTAGAS), Semarang tgl. 19 - 21 Juni 2024</t>
  </si>
  <si>
    <t>Drafting Memo ke Fungsi IM Progress Penyesuaian Izin Usaha Pengangkutan Minyak dan Gas Bumi PT Pertamina Gas (Cisem Tahap I)</t>
  </si>
  <si>
    <t>Fugnsi CS</t>
  </si>
  <si>
    <t>SIER</t>
  </si>
  <si>
    <t>Dinas Workshop Perizinan di Bandung</t>
  </si>
  <si>
    <t>Rapat Konfirmasi Pengaliran Tambahan Shipper Bayu Buana Gemilang</t>
  </si>
  <si>
    <t>Sosialisasi Revisi STK Pengadaan Barang/Jasa di Lingkungan PT Pertamina Ga</t>
  </si>
  <si>
    <t>Und dari SCM</t>
  </si>
  <si>
    <t>Pembahasan Penambahan Titik Serah antara EHK-PEP &amp; Titik Terima antara EHK-Pertagas di Tegal Gede</t>
  </si>
  <si>
    <t>Pembahasan isu pengaliran gas dan minyak antara PT Pertamina Gas dan PT Pertamina EP</t>
  </si>
  <si>
    <t>und dari CS</t>
  </si>
  <si>
    <t>DR</t>
  </si>
  <si>
    <t>Diskusi Materi Workshop Perizinan dengan DJMIGAS</t>
  </si>
  <si>
    <t xml:space="preserve">No.111/PG4200/2024-S0 tanggal 3 Juli 2024 perihal Amendemen-II PPG antara PERTAGAS dengan PGN untuk Area Sumbagut (ARBEL) </t>
  </si>
  <si>
    <t xml:space="preserve">No.110/PG4200/2024-S0 tanggal 2 Juli 2024 perihal Amendemen PPG antara PERTAGAS dengan PGN untuk Area Sumatera Bagian Selatan </t>
  </si>
  <si>
    <t>Drafting Memo penyampaian Toll Fee GRESEM ke fungsi internal PERTAGAS</t>
  </si>
  <si>
    <t>No.019/PG4220/2024-S0 tanggal 3 Juli 2024 perihal Penetapan Tarif Pengangkutan Gas Bumi Melalui Pipa PERTAGAS pada Ruas Transmisi Gresik – Semarang</t>
  </si>
  <si>
    <t>Drafting KB Site Visit DJMIGAS ke Cisem &amp; Rapat PLN Pengaliran Muara Karang - Muara Tawar</t>
  </si>
  <si>
    <t>[SIRKULER] : PPG antara PERTAGAS dengan ASRIGITA di Area Sumbagsel</t>
  </si>
  <si>
    <t>Drafting KB Stakeholder Engagement PT Pertamina Gas dan PT Pupuk Kalimantan Timur senilai Rp. 279.765.200</t>
  </si>
  <si>
    <t>Submit ke PTC Monthly Report Juni 2024 an. Sulistiani</t>
  </si>
  <si>
    <t>No.114/PG4200/2024-S0 tanggal 5 Juli 2024 perihal Permintaan Data Proyeksi Volume Produksi Minyak Bumi PT EMP Energi Gandewa</t>
  </si>
  <si>
    <t>EMP Gandewa</t>
  </si>
  <si>
    <t>Submit data ke Finance Perjanjian Signifikan yang di tandatangani per tanggal 01 Januari 2024 s.d 30 Juni 2024</t>
  </si>
  <si>
    <t>Und dari EHK</t>
  </si>
  <si>
    <t>Rapat PSU dalam PPG antara PERTAGAS dan PT Pertamina EP</t>
  </si>
  <si>
    <t>Und dari PEP</t>
  </si>
  <si>
    <t>Pembahasan mekanisme swap dan perjanjian swap gas Medco SS</t>
  </si>
  <si>
    <t>Und dari PGN</t>
  </si>
  <si>
    <t>PD TW II Tahun 2024 Manager Commercial Capacity</t>
  </si>
  <si>
    <t>Drafting Nota Dirkom kepada Dirut untuk penandatanganan Amendemen-IV PPG antara PERTAGAS dan PUSRI (Grispus) WK Corridor dan WK Jambi Merang</t>
  </si>
  <si>
    <t>Input/upload PERJANJIAN ke Aplikasi Reminder Contract System (RC System)</t>
  </si>
  <si>
    <t>Koordinasi dengan KOMITE terkait Tagihan yang ada dispute dengan SSC (Tanggal invoice dan Faktur Pajak tidak sama)</t>
  </si>
  <si>
    <t>Submit ulang Faktur Pajak yang sudah direvisi (tanggal disamakan dengan Invoice)</t>
  </si>
  <si>
    <t>Koordinasi dengan SHIPPER (PIM) terkait Amendemen-III KB GTA yang akan berakhir jangka waktunya pada tanggal 31  Desember 2024</t>
  </si>
  <si>
    <t>LH/RP</t>
  </si>
  <si>
    <t>No. 134/PG4200/2024-S0 tanggal 17 Juli 2024 perihal Permintaan Data Proyeksi Volume Produksi Minyak Bumi Texcal Energy Mahato Inc.</t>
  </si>
  <si>
    <t>Drafting Memo undangan ke internal PERTAGAS untuk penyampaian undangan Rapat Evaluasi Kegiatan Usaha Niaga dan Pengangkutan Gas Bumi Melalui Pipa PERTAGAS</t>
  </si>
  <si>
    <t>[CALMET] : PD TW II Tahun 2024 Manager Commercial Capacity, Jum'at 19 Juli 2024</t>
  </si>
  <si>
    <t>[SIRKULER] : Berita Acara Pengakhiran PPG antara PERTAGAS dan PTGN untuk Area Jawa Barat - CNG Bitung</t>
  </si>
  <si>
    <t>Drafting Memo Pjs. VP CCA ke fungsi internal untuk penyampaian Keyterms Perjanjian Pengangkutan Gas antara PERTAGAS – PEMA</t>
  </si>
  <si>
    <t xml:space="preserve">No. 137/PG4200/2024-S0 tanggal 18 Juli 2024 perihal Key Terms PPG antara PT Pertamina Gas dengan PT Pembangunan Aceh (PEMA) </t>
  </si>
  <si>
    <t>Deklarasi Pekerja an. Sulistiani (PERTAGAS), Bandung tgl 10 - 12 Juli 2024</t>
  </si>
  <si>
    <t>Koordinasi dengan KOMITE terkait proses reimburse Site Visit DJMIGAS ke Cisem &amp; Rapat PLN Pengaliran Muara Karang - Muara Tawar</t>
  </si>
  <si>
    <t>IUT</t>
  </si>
  <si>
    <t>Koordinasi dengan Fungsi IM terkait tindak lanjut terhadap Notulen Progess Penyesuaian Izin Usaha dan PLO Pipa Cisem-1</t>
  </si>
  <si>
    <t>[SIRKULER]:  Perjanjian Pengangkutan Gas PERTAGAS &amp; ASRIGITA</t>
  </si>
  <si>
    <t>Fugnsi OCSA</t>
  </si>
  <si>
    <t>Koordinasi dengan Fungsi OSSA terkait PPG ASRIGITA (revisi pada Lampiran-J)</t>
  </si>
  <si>
    <t>Pemaparan Materi Program Inovasi untuk di Commercial Capacity</t>
  </si>
  <si>
    <t xml:space="preserve"> Input/upload deklarasi pekerja Fungsi Commercial Capacity via TOUR</t>
  </si>
  <si>
    <t>Koordinasi dengan fungsi Finance terkait invoice PT APGWI</t>
  </si>
  <si>
    <t>Pembahasan Materi Program Inovasi untuk di Commercial Capacity</t>
  </si>
  <si>
    <t xml:space="preserve"> Input deklarasi pekerja Fungsi Commercial Capacity via MySAP</t>
  </si>
  <si>
    <t xml:space="preserve">No.201/PG0000/2024-S0 tanggal 5 Juli 2024 perihal Rencana Pengaliran Gas untuk Kebutuhan Inspeksi di Ruas Pipa Muara Karang - Muara Tawar (MK-MT), </t>
  </si>
  <si>
    <t>Drafting Dirkom ke Dirut untuk penandangangan PPG antara PERTAGAS dan KPI di Jawa Barat</t>
  </si>
  <si>
    <t>Drafting Nota Dirkom kepada Dirut untuk penandatanganan PPG antara PERTAGAS dengan PT Asrigita Prasarana di Area Sumbagsel</t>
  </si>
  <si>
    <t>Drafting dan submit SPK Site Visit DJMIGAS ke Cisem &amp; Rapat PLN Pengaliran Muara Karang - Muara Tawar</t>
  </si>
  <si>
    <t>Rapat Perizinan Cisem Tahap I dan Perizinan Niaga PT Pertamina Gas</t>
  </si>
  <si>
    <t>Rapat Evaluasi Kegiatan Usaha Niaga dan Pengangkutan Gas Bumi Melalui Pipa PT Pertamina Gas</t>
  </si>
  <si>
    <t xml:space="preserve">Drafting surat penyampaian PPG PERTAGAS dan KPI untuk Kebutuhan RU VI Balongan </t>
  </si>
  <si>
    <t>Submit ke DJMIGAS Laporan Kegiatan Usaha Pengangkutan Minyak Bumi melalui Pipa PT Pertamina Gas Periode Juni 2024</t>
  </si>
  <si>
    <t>Submit Payment Approval Tagihan Reimbursement Stakeholder Engagement PT Pertamina Gas tahun 2024</t>
  </si>
  <si>
    <t>Drafting Memo undangan Rapat PSU dalam PPG antara PERTAGAS dan PEP</t>
  </si>
  <si>
    <t>No.203/PG0000/2024-S0 tanggal 8 Juli 2024 perihal Tindak Lanjut Penyelesaian Outstanding PT Sarana Cepu Energi</t>
  </si>
  <si>
    <t xml:space="preserve">No.120/PG4200/2024-S0 tanggal 12 Juli 2024 perihal Amendemen-III PPG antara PT Pertamina Gas dengan PT Sarana Cepu Energi untuk Area Jawa Timur </t>
  </si>
  <si>
    <t>Corsec, GM OER, VP FC &amp; VP Treasury</t>
  </si>
  <si>
    <t>Nomor Tagihan INVOICE No. 165 telah terbit</t>
  </si>
  <si>
    <t xml:space="preserve">No.131/PG4200/2024-S0 tanggal 15 Juli 2024 perihal PPG untuk Kebutuhan RU VI Balongan antara PERTAGAS dengan PT Kilang Pertamina Internasional </t>
  </si>
  <si>
    <t>PT KPI</t>
  </si>
  <si>
    <t>BO &amp; Surat Kuasa</t>
  </si>
  <si>
    <t>Koordinasi dengan Fungsi Legal terkait update dokumen persyaratan penyesuaian IUT Cisem (Benefial Owner dan Surat Kuasa)</t>
  </si>
  <si>
    <t>Rapat Pembahasan Gas Off Spec EHK di Jawa Barat</t>
  </si>
  <si>
    <t>KB OTA</t>
  </si>
  <si>
    <t>[SIRKULER] : KB OTA antara PERTAGAS &amp; PT EMP Gandewa</t>
  </si>
  <si>
    <t>Drafting surat undangan Rapat antara PERTAGAS dan PT Inti Alasindo Energy (IAE)</t>
  </si>
  <si>
    <t>Workshop Status Side Letter atas PERJANJIAN PT Pertamina Gas</t>
  </si>
  <si>
    <t>Rapat Pembahasan Kelanjutan PERJANJIAN PT SPR Langgak</t>
  </si>
  <si>
    <t>Pembahasan Amendemen OTA Tempino</t>
  </si>
  <si>
    <t>und dari Man OCSA</t>
  </si>
  <si>
    <t>Diskusi Tanggapan atas Surat BPH Migas Perihal Konfirmasi Status Ruas Pipa Balongan – Mundu (looping)</t>
  </si>
  <si>
    <t>Workshop Sinergi Bersama untuk Utilisasi Pipa Minyak dan Gas Bumi dan Rencana Optimalisasi Penyaluran Jangka Panjang</t>
  </si>
  <si>
    <t>Rapat Pembahasan Tindak Lanjut Pemberlakuan Side Letter PTGN di ONSA</t>
  </si>
  <si>
    <t>Sosialisasi Kepmen ESDM No.173K/2024 tentang RIJTDGN</t>
  </si>
  <si>
    <t>Public Hearing Penetapan Toll Fee Pipa Semarang-Batang (Cisem Tahap I)</t>
  </si>
  <si>
    <t>Rapat Rencana Amendemen OTA PERTAGAS dan PHR</t>
  </si>
  <si>
    <t>Koordinasi dengan BPH Migas persiapan FGD dan Site Visit ke Pipa Cisem Tahap I</t>
  </si>
  <si>
    <t xml:space="preserve">KOMITE WEBINAR </t>
  </si>
  <si>
    <t>FGD antara BPH MIGAS - PT Pertamina Gas dan Site Visit ke Pipa Transmisi Ruas Semarang - Batang (Cisem Tahap I)</t>
  </si>
  <si>
    <t>[CALMET] : Rapat Pembahasan Kelanjutan Perjanjian Pengangkutan Minyak PT SPR Langgak, Senin 5 Agustus 2024 di RR. Plaju</t>
  </si>
  <si>
    <t>Sharing Cost</t>
  </si>
  <si>
    <t>Koordinasi terkait  SHARING COST Stakeholder Engagement PERTAGAS dan PKT</t>
  </si>
  <si>
    <t>Payment Approval</t>
  </si>
  <si>
    <t>Submit ke SSC (Payment Approval) tagihan Site Visit DJMIGAS ke Pipa Transmisi Ruas Cisem dan Rapat  PLN Pengaliran Gas Muara Karang - Muara Tawar</t>
  </si>
  <si>
    <t>Input/upload dokumen perjalanan dinas pekerja fungsi Commercial Capacity via TOUR</t>
  </si>
  <si>
    <t>ABE/RP</t>
  </si>
  <si>
    <t>Distribusi surat No.239/PG0000/2024-S0 tanggal 30 Juli 2024 perihal “Ship or Pay PT Energasindo Heksa Karya Tahun 2020</t>
  </si>
  <si>
    <t>PT EHK</t>
  </si>
  <si>
    <t>Rekap Rincian Anggaran Biaya (RAB) Kegiatan FGD PERTAGAS - BPH Migas di Semarang</t>
  </si>
  <si>
    <t>[REVIEW] : Draft Kesepakatan Bersama Pembayaran Kompensasi Biaya Tambahan Atas Pengaliran di Ruas MKMT untuk Kebutuhan Commissioning</t>
  </si>
  <si>
    <t>Distribusi Notulen Rapat Pembahasan Kelanjutan OTA PT SPR Langgak</t>
  </si>
  <si>
    <t>Drafting surat undangan FGD PERTAGAS - BPH Migas</t>
  </si>
  <si>
    <t>Drafting KB FGD PERTAGAS - BPH Migas dan Site Visit ke Pipa Semarang - Batang (Cisem Tahap I)</t>
  </si>
  <si>
    <t>Koordinasi dengan Fungsi Treasury terkait Klaurul JISDOR H-1 pada KB Pembayaran Kompensasi Biaya Tambahan Atas Pengaliran di Ruas MKMT untuk Kebutuhan Commissioning</t>
  </si>
  <si>
    <t>Menyelesaikan dispute SSC dan submit ulang ke SSC tagihan Site Visit DJMIGAS ke Pipa Transmisi Ruas Cisem dan Rapat  PLN Pengaliran Gas Muara Karang - Muara Tawar</t>
  </si>
  <si>
    <t>Input/upload dokumen perjalanan dinas pekerja fungsi Commercial Capacity di MySA)</t>
  </si>
  <si>
    <t>Und dari fungsi IM</t>
  </si>
  <si>
    <t>Koordinasi dengan DJMIGAS terkait Penyesuaian IUT PERTAGAS (Ruas Cisem Tahap I)</t>
  </si>
  <si>
    <t>Input dan upload PERJANJIAN ke RC System</t>
  </si>
  <si>
    <t xml:space="preserve"> [SIRKULER] : KB OTA antara PERTAGAS &amp; PT EMP Gandewa</t>
  </si>
  <si>
    <t>[CALMET] : Undangan Rapat Pembahasan Pipa Ex Migas Expose di Ruas Mangkang dan Ruas Kaligawe Semarang</t>
  </si>
  <si>
    <t>FGD</t>
  </si>
  <si>
    <t>Koordinasi dengan KOMITE terkait Sponsorship Kegiatan FGD PERTAGAS - BPH Migas dan Site Visit ke Pipa Semarang - Batang (Cisem Tahap I)</t>
  </si>
  <si>
    <t>Rekapitulasi biaya dan submit SPK ke KOMITE perihal Reimbursement Biaya Stakeholder Engagement PT Pertamina Gas dengan BPH Migas dan SKK Migas</t>
  </si>
  <si>
    <t>Workshop</t>
  </si>
  <si>
    <t>Distribusi surat ke Tately No. 085/PG4000/2024-S0 tanggal 8 Agustus 2024 perihal Perpanjangan Perjanjian Pengangkutan Minyak Bumi Melalui Pipa Tempino - KM 03 Sei Gerong milik PT Pertamina Gas</t>
  </si>
  <si>
    <t>Distribusi surat ke OEKA No. 086/PG4000/2024-S0 tanggal 8 Agustus 2024 perihal Perpanjangan Perjanjian Pengangkutan Minyak Bumi Melalui Pipa Tempino - KM 03 Sei Gerong milik PT Pertamina Gas</t>
  </si>
  <si>
    <t>Distribusi surat ke PT Pertamina EP perihal Perpanjangan OTA Pipa Tempino - KM 03 Sei Gerong milik PT Pertamina Gas</t>
  </si>
  <si>
    <t>[CALMET] : Pembahasan Tindak Lanjut Pemberlakuan Side Letter PTGN di ONSA, Senin 12 Agustus 2024</t>
  </si>
  <si>
    <t>Distribusi surat No. 087/PG4000/2024-S0 tanggal 8 Agustus 2024 perihal Perpanjangan Perjanjian Pengangkutan Minyak Bumi Melalui Pipa Tempino - KM 03 Sei Gerong milik PT Pertamina Gas</t>
  </si>
  <si>
    <t>Distribusi surat No. 088/PG4000/2024-S0 tanggal 8 Agustus 2024 perihal Perpanjangan Perjanjian Pengangkutan Minyak Bumi Melalui Pipa Tempino - KM 03 Sei Gerong milik PT Pertamina Gas</t>
  </si>
  <si>
    <t>Meeting Package</t>
  </si>
  <si>
    <t>Koordinasi reservasi ruang rapat di Hotel Sheraton Surabaya untuk pembahasan Amendemen OTA PHR</t>
  </si>
  <si>
    <t>Drafting undangan rapat pembahasan rencana amendemen OTA PERTAGAS - PHR</t>
  </si>
  <si>
    <t>Proses sirkuler surat Undangan Rapat Pembahasan Rencana Tie In di Pipa Pertagas dan Pembahasan Skema Bisnis di Pipa Open Access</t>
  </si>
  <si>
    <t>[SIRKULER] : Amendemen PPG PERTAGAS &amp; PHKT di OKA</t>
  </si>
  <si>
    <t xml:space="preserve">Drafting Memo ke Man GS perihal Akomodasi Ruang Rapat Rencana Amendemen OTA antara PERTAGAS dengan PHR </t>
  </si>
  <si>
    <t>No.161/PG4200/2024-S0 tanggal 12 Agustus 2024 perihal Tanggapan atas Permohonan Penyesuaian Nilai SBLC PT Odira Energy Karang Agung</t>
  </si>
  <si>
    <t>VP Treasury</t>
  </si>
  <si>
    <t>Drafting undangan Rapat Rencana Amendemen Perjanjian Pengangkutan Minyak Bumi di Pipa Rokan antara PT Pertamina Gas dengan PT Pertamina Hulu Rokan</t>
  </si>
  <si>
    <t>VP NVP</t>
  </si>
  <si>
    <t>Surat PERTAGAS ke BPH Migas Perihal Tanggapan Atas Public Hearing Penetapan Tarif Cisem-1</t>
  </si>
  <si>
    <t>Sosialisasi Project Chapter Budaya Akhlak Tahun 2024</t>
  </si>
  <si>
    <t>Distribusi surat undangan Focus Group Discussion (“FGD”) BPH Migas –  PT Pertamina Gas</t>
  </si>
  <si>
    <t xml:space="preserve">Drafting undangan ke internal PERTAGAS terkati kegiatan Focus Group Discussion (“FGD”) BPH Migas - PT Pertamina Gas 
</t>
  </si>
  <si>
    <t>PR/PO/SA</t>
  </si>
  <si>
    <t>Create PR/PO/SA dan submit ke SSC Payment Approval tagihan Stakeholder Engagement PT Pertamina Gas dan PT Pupuk Kaltim</t>
  </si>
  <si>
    <t xml:space="preserve">Drafting undangan Rapat Rencana Amendemen Perjanjian Pengangkutan Minyak Bumi di Pipa Rokan antara PT Pertamina Gas dengan PT Pertamina Hulu Rokan
</t>
  </si>
  <si>
    <t>Koordinasi</t>
  </si>
  <si>
    <t>Dispute SSC</t>
  </si>
  <si>
    <t>Konrfirmasi dispute ketidaksesuaian tagihan terkait PPH 21 dan submit SPK revisi ke SSC</t>
  </si>
  <si>
    <t>Input dan update data PPG/OTA di Database PERJANJIAN</t>
  </si>
  <si>
    <t xml:space="preserve">Distribusi Notulen Workshop Perizinan Kegiatan Niaga maupun Pengangkutan Gas Bumi antara PERTAGAS dan DJMIGAS </t>
  </si>
  <si>
    <t>No.276/PG0000/2024-S0 tanggal 13 Agustus 2024 perihal Tanggapan atas Public Hearing Penetapan Tarif Cisem-1</t>
  </si>
  <si>
    <t xml:space="preserve">Submit ke DJMIGAS Laporan Kegiatan Usaha Pengangkutan Minyak Bumi melalui Pipa Tempino dan Rokan Periode Juli 2024 </t>
  </si>
  <si>
    <t>Koordinasi dengan EO dan proses reservasi hotel untuk meeting room dan akomodasi KOMITE BPH Migas untuk FGD Semarang</t>
  </si>
  <si>
    <t>Proses sirkuler Notulen Rapat PERTAGAS-SIER-IKD tgl 12 Agustus 2024</t>
  </si>
  <si>
    <t>Distribusi Notulen Rapat Pembahasan Amendemen OTA antara PERTAGAS – PHR tgl 15 Agusttus 2024</t>
  </si>
  <si>
    <t>Drafting Memo GL untuk Akomodasi Ruang Rapat FGD BPH Migas-PERTAGAS di Semarang</t>
  </si>
  <si>
    <t>Koordinasi dengan Fungsi Finance terkait proses sirkuler KB OTA antara PERTAGAS &amp; PT EMP Gandewa</t>
  </si>
  <si>
    <t>Drafting Memo Surat Izin Masuk Lokasi (SIMLOK) dan koordinas dengan Fungsi Operasi EJA terkait APD untuk peserta FGD PERTAGAS - BPH Migas</t>
  </si>
  <si>
    <t>- FGD antara BPH MIGAS - PT Pertamina Gas dan Site Visit ke Pipa Transmisi Ruas Semarang - Batang (Cisem Tahap I)
- Submit dokumen-dokumen komersial terkait pipa Cisem ke Fungsi Financedan update Status Pipa Cirebon-Semarang Tahap 1</t>
  </si>
  <si>
    <t>Submit dokumen-dokumen komersial terkait pipa Cisem ke Fungsi Financedan update Status Pipa Cirebon-Semarang Tahap 1</t>
  </si>
  <si>
    <t>Rapat Pembahasan Perpanjangan Perjanjian Pengangkutan Gas MPE - SSA</t>
  </si>
  <si>
    <t>Rapat Pembahasan Perjanjian Swap Medco South Sumatera</t>
  </si>
  <si>
    <t>Settlement</t>
  </si>
  <si>
    <t>Rekapitulasi realisasi biaya FGD PT Pertamina Gas dengan-  BPH Migas dan Site Visit ke pipa transmisi ruas Semarang - Batang (Cisem Tahap I)</t>
  </si>
  <si>
    <t>Monitoring sirkuler Amendemen PPG PERTAGAS &amp; PHKT di OKA</t>
  </si>
  <si>
    <r>
      <rPr>
        <i/>
        <sz val="11"/>
        <color theme="1"/>
        <rFont val="Calibri"/>
        <family val="2"/>
        <scheme val="minor"/>
      </rPr>
      <t>Drafting</t>
    </r>
    <r>
      <rPr>
        <sz val="11"/>
        <color theme="1"/>
        <rFont val="Calibri"/>
        <family val="2"/>
        <scheme val="minor"/>
      </rPr>
      <t xml:space="preserve"> Memo VP CCA ke fungsi internal PERTAGAS untuk penyambaian BA Terminasi PPG PTGN di Jawa Barat (CNG Bitung)</t>
    </r>
  </si>
  <si>
    <r>
      <t>Drafting</t>
    </r>
    <r>
      <rPr>
        <sz val="11"/>
        <color theme="1"/>
        <rFont val="Calibri"/>
        <family val="2"/>
        <scheme val="minor"/>
      </rPr>
      <t xml:space="preserve"> Memo VP CCA ke fungsi internal PERTAGAS untuk penyambaian BA Terminasi PPG PTGN di Jawa Barat (CNG Bitung)</t>
    </r>
  </si>
  <si>
    <t>Create SPK dan Proses  Reimbursement ke KOMITE Biaya Stakeholder Engagement PT Pertamina Gas dengan BPH Migas dan SKK Migas</t>
  </si>
  <si>
    <t>Konfirmasi ke SSC Dispute Kesesuaian Tagihan dan tanggal BAST</t>
  </si>
  <si>
    <t>Distribusi Memorandum VP CCA No.170/PG4200/2024-S0 tanggal 26 Agustus 2024 perihal Berita Acara Pengakhiran PPG antara PERTAGAS dan PTGN untuk Wilayah Jawa Barat (CNG Bitung)</t>
  </si>
  <si>
    <t>Drafting undangan rapat internal PERTAGAS perihal Rapat BPH Migas Verifikasi Laporan Akun Pengaturan PT Pertamina Gas Tahun Buku 2023</t>
  </si>
  <si>
    <t>Rapat Rencana Pemanfaatan Pipa Rokan PT Pertamina Gas oleh EMP Tonga</t>
  </si>
  <si>
    <t>Memo IUT</t>
  </si>
  <si>
    <t>Drafting Memo VP CCA ke fungsi internal PERTAGAS untuk penyampaian IUT Cisem Tahap I</t>
  </si>
  <si>
    <t>Submit deklarasi SPD SPD Semarang tgl. 20 – 23 Agustus 2024 an. Sulistiani</t>
  </si>
  <si>
    <t>Input travel expense deklarasi pekerja fungsi Commercial Capacity ke MySAP</t>
  </si>
  <si>
    <t>[CALMET] : Rapat Monitoring &amp; Evaluasi Pipa Semarang-Batang (Cisem Tahap I) tgl. 30 Agustus 2024 via Zoom Meeting</t>
  </si>
  <si>
    <t>[CALMET] : Rapat Finalisasi Amendemen-V PPG PERTAGAS &amp; EHK di Jawa Barat tgl. 2 Sept 2024 di Hotel Park Hyatt</t>
  </si>
  <si>
    <t>- Focus Group Discussion Dalam Rangka Penyampaian Inspeksi Teknis dan Pemeriksaan Keselamatan Migas di Area Operasi Pertagas
- Rapat Monitoring &amp; Evaluasi Pipa Semarang-Batang (Cisem Tahap I) tgl. 30 Agustus 2024 via Zoom Meeting</t>
  </si>
  <si>
    <t>- Focus Group Discussion Dalam Rangka Penyampaian Inspeksi Teknis dan Pemeriksaan Keselamatan Migas di Area Operasi Pertagas
- Distribusi Memo VP CCA No.176/PG4200/2024-S0 tanggal 28 Agustus 2024 perihal Rencana Pengaliran Gas PGN dari Produsen SRB Lapangan SAS-1</t>
  </si>
  <si>
    <t>Proses sirkuler Memo Permohonan Dukungan Pengaliran Gas IGAS  Dari Sumur PDT</t>
  </si>
  <si>
    <t>Distribusi Memorandum VP Commercial Capacity &amp; Asset No.177/PG4200/2024-S0 tanggal 31 Agustus 2024 perihal Penyaluran Gas PT Igas Utama dari Lapangan Pondok Tengah milik PT Pertamina EP</t>
  </si>
  <si>
    <t>KB Pembayaran Kompensasi Biaya Tambahan Atas Pengaliran di Ruas MKMT untuk Kebutuhan Commissioning</t>
  </si>
  <si>
    <t>LIBUR MAULID NABI</t>
  </si>
  <si>
    <t>Rapat Pembahasan Rencana Pengaliran Minyak SSY di Pipa Tempino - Sei Gerong</t>
  </si>
  <si>
    <t>Pembahasan Kompensasi Penalti Penyaluran Minyak SPPP Tempino – KM 03 Sei Gerong Periode Mei 2022</t>
  </si>
  <si>
    <t>Commercial Offline Learning &amp; Sharing (CORNERS) : Cara Jitu Hitung Toll Fee</t>
  </si>
  <si>
    <t>OFFLINE</t>
  </si>
  <si>
    <t>Rapat BPH Migas Laporan Akun Pengaturan PERTAGAS 2023 OSSA dan OEJA</t>
  </si>
  <si>
    <t>Rapat
Zoom Meeting</t>
  </si>
  <si>
    <t>Meeting Koordinasi Fungsi Commercial Capacity &amp; Asset</t>
  </si>
  <si>
    <t>Pembahasan Internal terkait Agenda Usulan TF Pipa Minyak Rokan dan OTA BSP</t>
  </si>
  <si>
    <t>Distribusi Notulen rapat PERTAGAS - BPH Migas terkait Verifikasi Laporan Akun Pengaturan PT Pertamina Gas Area Kalimantan, JBB dan JBT</t>
  </si>
  <si>
    <t>Rapat Pembahasan Billing Pengangkutan Gas PTGN Non CNG Periode Juli 2024.</t>
  </si>
  <si>
    <t>Submit ke SSC Tagihan Reimbursement Biaya Stakeholder Engagement PT Pertamina Gas, IndoPACIFIC LNG Summit 2024, Rapat BPH Migas, Rapat DJMIGAS Evaluasi Perizinan Niaga dan Pengangkutan Pertagas</t>
  </si>
  <si>
    <t>Sirkuler draft Notulen Rapat tgl 27 Agustus 2024 perihal Pembahasan Pengaliran BSP</t>
  </si>
  <si>
    <t>ABE/NF</t>
  </si>
  <si>
    <t>Drafting dan submit ke KOMITE perihal SPK Stakeholder Engagement PT Pertamina Gas dengan PKG, PLN, BPH Migas dan PT Pertamina (Persero)</t>
  </si>
  <si>
    <t>Pembahasan SBLC PT Odira Energi Karang Agung ("OEKA")</t>
  </si>
  <si>
    <t>MS-Teams</t>
  </si>
  <si>
    <t>Memorandum Manager Commercial Capacity No.025/PG4220/2024-S0 tanggal 3 September 2024 perihal Rekonsiliasi Pembayaran PHR atas Biaya Pengangkutan Minyak Melalui Pipa Rokan</t>
  </si>
  <si>
    <t>Notulen Rapat antara PERTAGAS dengan DJMIGAS yang telah dilaksanakan tanggal 23 Juli 2024 dengan agenda pembahasan  Evaluasi Kegiatan Usaha Niaga dan Pengangkutan Gas Bumi Melalui Pipa PERTAGAS</t>
  </si>
  <si>
    <t>Und DJMIGAS</t>
  </si>
  <si>
    <t>Nota &amp; PERJANJIAN</t>
  </si>
  <si>
    <t>Sirkuler Nota Dirkom ke Dirut untuk penandatanganan Amendemen PPG antara PERTAGAS dengan PHKT</t>
  </si>
  <si>
    <t>Sosialisasi</t>
  </si>
  <si>
    <t>Sosialisasi Teknis Aplikasi iVendor Full Digitalized</t>
  </si>
  <si>
    <t>Distribusi Notulen rapat PERTAGAS - BPH Migas terkait Verifikasi Laporan Akun Pengaturan Lanjutan PERTAGAS Area Kalimantan tgl. 29 Agustus 2024</t>
  </si>
  <si>
    <t>Koordinasi dengan KOMITE terkait tagihan Reimbursement Biaya Stakeholder Engagement PT Pertamina Gas, IndoPACIFIC LNG Summit 2024, Rapat BPH Migas, Rapat DJMIGAS Evaluasi Perizinan Niaga dan Pengangkutan Pertagas</t>
  </si>
  <si>
    <t>Input/upload deklarasi perjalanan dinas pekerja Fungsi CC via TOUR</t>
  </si>
  <si>
    <t>Pra FGD</t>
  </si>
  <si>
    <t>Koordinasi dengan BPH Migas arrange jadwal para KOMITE BPH Migas</t>
  </si>
  <si>
    <t>FS Rokan</t>
  </si>
  <si>
    <t>Update Studi Kelayakan (FS) Rokan untuk proses pengajuan IUS Rokan (segmen 1 - 5)</t>
  </si>
  <si>
    <t>Update/Input data PERJANJIAN ke Database PERJANJIAN dan RC System</t>
  </si>
  <si>
    <t>Proses sirkuler Nota VP CCA kepada Dirkom untuk penandatanganan Izin Prinsp Tarif BSP</t>
  </si>
  <si>
    <t>Drafting Memo Undangan ke fungsi internal PERTAGAS terkait Undangan Rapat BPH Migas Laporan Akun Pengaturan PERTAGAS 2023 OSSA dan OEJA</t>
  </si>
  <si>
    <t>Man CC</t>
  </si>
  <si>
    <t>Laporan</t>
  </si>
  <si>
    <t>Submit Monthly Report Agustus 2024 an. Sulistiani (PERTAGAS) an. Sulistiani</t>
  </si>
  <si>
    <t>Koordinasi dengan Finance terkait Perubahan Approval Manager Commercial Capacity</t>
  </si>
  <si>
    <t>Drafting Memo Penyelesaian Outstanding Masa berlaku Perjanjian di Operation West Java Area</t>
  </si>
  <si>
    <t>Rapat Offline'</t>
  </si>
  <si>
    <t>Koordinasi dengan Fungsi Technical Management terkait dokumen persyaratan IUS Rokan (Segmen 1 - 5)</t>
  </si>
  <si>
    <t>Dok IUS</t>
  </si>
  <si>
    <t>No.180/PG4200/2024-S0 tanggal 6 September 2024 perihal Penyelesaian Outstanding Masa berlaku Perjanjian di Operation West Java Area</t>
  </si>
  <si>
    <t>Surat Narahubung</t>
  </si>
  <si>
    <t>Drafting surat Narahubung untuk dokumen persyaratan pengajuan IUS Rokan</t>
  </si>
  <si>
    <t>Rapat
Zoom</t>
  </si>
  <si>
    <t>IUS Rokan</t>
  </si>
  <si>
    <t>Koordinasi dengan Tim Perizinan Minyak Ditjen Migas terkait Web Perizinan ESDM</t>
  </si>
  <si>
    <t>Drafting Nota Dirkom kepada Dirut untuk penandatanganan Surat Narahubung IUS rokan</t>
  </si>
  <si>
    <t>Settlement tagihan FGD PERTAGAS - BPH Migas dan Site Visit ke Pipa Semarang - Batang (Cisem Tahap I)</t>
  </si>
  <si>
    <t>Sirkuler LUPARD Usulan TF &amp; Shipper BSP di Pipa Rokan periode 2024-2025</t>
  </si>
  <si>
    <t>Drafting Memo penyampaian PPG antara PERTAGAS &amp; ASRIGITA di SSA  yang sudah ditandatangani kedua belah PIHAK</t>
  </si>
  <si>
    <t xml:space="preserve">Koordinasi dengan PHKT terkait proses sirkuler dokumen hard copy Amendemen PPG PERTAGAS dan PHKT </t>
  </si>
  <si>
    <t>Dok SSC</t>
  </si>
  <si>
    <t>Submit dokumen ke SSC perihal Reimbursement Biaya Stakeholder Engagement PT Pertamina Gas dengan BPH Migas dan SKK Migas</t>
  </si>
  <si>
    <t>Submit Progress Pembangunan Pipa Minyak Rokan PT Pertamina Gas ke Ditjen Migas dalam rangka pengajuan IUS Rokan (Segmen 1 - 5)</t>
  </si>
  <si>
    <t xml:space="preserve">No.186/PG4200/2024-S0 tanggal 11 September 2024 perihal PPG antara PERTAGAS dengan PT Asrigita Prasarana untuk Area Sumbagsel </t>
  </si>
  <si>
    <t>Und dr BPH Migas</t>
  </si>
  <si>
    <t xml:space="preserve">Koordinasi dengan KOMITE terkait nomor ticket dan dispute SSC untuk tagihan No. INV-01/KOMITE/KB/IX/2024-220 </t>
  </si>
  <si>
    <t>Submit ke Ditjen Migas Pelaporan Kegiatan Usaha MIGAS Periode Agustus 2024 PT Pertamina Gas</t>
  </si>
  <si>
    <t>Tagihan FGD</t>
  </si>
  <si>
    <t>Rekap pertanggungjawaban FGD PERTAGAS - BPH Migas dan sirkuler Berita Acara Serah Terima (BAST)</t>
  </si>
  <si>
    <t>[CALMET] : Undangan Rapat BPH Migas Review Tarif Pengangkutan Gas Bumi PT Pertamina Gas</t>
  </si>
  <si>
    <t>Koordinasi dengan IT Ditjen Migas terkait kendala teknis Web Perizinan ESDM karena PERTAGAS belum bisa submit IUS Rokan</t>
  </si>
  <si>
    <t>Monthly Meeting Direktorat Komersial Periode Agustus 2024</t>
  </si>
  <si>
    <t>Distribusi Notulen Rapat Laporan Akun Pengaturan (LAP) PT Pertamina Gas untuk OSSA dan OEJA tgl. 11 – 12 September 2024</t>
  </si>
  <si>
    <t>Sirkuler Notulen Rapat FGD BPH Migas – PT Pertamina Gas tgl 21 Agustus 2024</t>
  </si>
  <si>
    <t xml:space="preserve">[REMINDER] : KB Pembayaran Kompensasi Biaya Tambahan Atas Pengaliran di Ruas MKMT untuk Kebutuhan Commissioning </t>
  </si>
  <si>
    <t>Konfirmasi Dispute Kesesuaian Tagihan No. INV-01/KOMITE/KB/IX/2024-221</t>
  </si>
  <si>
    <t>Drafting Memo Manager Commercial Capacity ke fungsi internal PERTAGAS untuk penyampaian TF Cisem sesuai Keputusan BPH Migas</t>
  </si>
  <si>
    <t xml:space="preserve">[SIRKULER] : KB OTA antara PERTAGAS &amp; PT EMP Gandewa  </t>
  </si>
  <si>
    <t>Manager ORA</t>
  </si>
  <si>
    <t>[CALMET] : Site Visit BPH Migas &amp; LEMIGAS Pendataan Kapasitas Pipa OWJA</t>
  </si>
  <si>
    <t>No.027/PG4220/2024-S0 tanggal 19 September 2024 perihal Penetapan Tarif dari BPH Migas untuk Pipa PERTAGAS Ruas Semarang-Batang (Cisem Tahap I</t>
  </si>
  <si>
    <t>Drafting Surat ke SHIPPER PERTAMINA perihal Jangka Waktu PERJANJIAN yang akan berakhir tgl 31 Des 2024 di JBB, SSA dan JBT untuk Kebutuhab SPBG</t>
  </si>
  <si>
    <t>No.026/PG4220/2024-S1 tanggal 20 September 2024 perihal Permintaan Dokumen Post Mortem Pipa Tempino - Plaju PT Pertamina Gas</t>
  </si>
  <si>
    <t>Manager PRM</t>
  </si>
  <si>
    <t>Distribusi  Surat kepada BPH MIGAS : Permohonan Evaluasi Pengenaan Denda Gas Off-Spec berdasarkan PPG melalui Pipa Pertagas</t>
  </si>
  <si>
    <t>Koordinasi dengan Fungsi Land (Corsec) terkait PKKPR Rokan</t>
  </si>
  <si>
    <t>Monitoring dan review proses input/upload deklarasi perjalanan dinas pekerja Fungsi Commercial Capacity</t>
  </si>
  <si>
    <t xml:space="preserve">Diskusi Agregasi Infrastruktur Gas </t>
  </si>
  <si>
    <t>Rekap dan submit ke KOMITE SPK Reimbursement Biaya Stakeholder Engagement PT Pertamina Gas dengan PT Pertamina Hulu Energi</t>
  </si>
  <si>
    <t>[SIRKULER] : Amendemen-IV PPG PERTAGAS dan IGAS</t>
  </si>
  <si>
    <t>Submit ke SSC Tagihan FGD  BPH Migas - PT Pertamina Gas dan Site Visit ke Pipa Transmisi Ruas Semarang-Batang (Cisem Tahap I)</t>
  </si>
  <si>
    <t>Tindak Lanjut Permintaan Penambahan Volume</t>
  </si>
  <si>
    <t>Drafting surat Permohonan ke Ditjen Migas Pengajuan IUS Pengangkutan Minyak dan Gas Bumi Proyek Rokan</t>
  </si>
  <si>
    <t>Distribusi surat PIM No.004093/E/PD/1220/ET/2024 perihal Perpanjangan Kesepakatan Bersama Pengangkutan Gas</t>
  </si>
  <si>
    <t xml:space="preserve">Sosialisasi dan Training Layanan Shared Services (SS) Procurement – Fitur SA (Service Acceptance) pada Aplikasi One Pro </t>
  </si>
  <si>
    <t>Rapat Pembahasan OTA PERTAGAS dan EMP di Pipa Minyak Rokan</t>
  </si>
  <si>
    <t>Koordinasi dengan KOMITE terkait dispute tagihan SSC</t>
  </si>
  <si>
    <t>Drafting Memo Undangan Rapat BPH Migas Review Tarif Pengangkutan Gas Bumi PT Pertamina Gas</t>
  </si>
  <si>
    <t>FAR dan OPB</t>
  </si>
  <si>
    <t xml:space="preserve">[SIRKULER] : KB Pembayaran Kompensasi Biaya Tambahan Atas Pengaliran di Ruas MKMT untuk Kebutuhan Commissioning </t>
  </si>
  <si>
    <t>LC, Finance &amp; Treasury</t>
  </si>
  <si>
    <t>Distribusi Notulen Rapat tgl 19 Sept 2024 Pembahasan Rencana Pengaliran Minyak SSY di Pipa Tempino - Sei Gerong</t>
  </si>
  <si>
    <t>No.029/PG4220/2024-S0 tanggal 25 September 2024 perihal Undangan Rapat BPH Migas Review Tarif Pengangkutan Gas PERTAGAS</t>
  </si>
  <si>
    <t>;</t>
  </si>
  <si>
    <t>Rapat Zoom</t>
  </si>
  <si>
    <t>Rapat BPH Migas Review Tarif Pengangkutan Gas Bumi PT Pertamina Gas</t>
  </si>
  <si>
    <t>No.113/PG4000/2024-S0 tanggal 25 September 2024 perihal Permohonan Izin Usaha Pengangkutan Sementara Pipa Minyak Rokan</t>
  </si>
  <si>
    <t>Sekretaris Ditjen Migas</t>
  </si>
  <si>
    <t>Koordinasi dengan Tim Perizinan dan IT Migas terkait proses submit pengajuan IUS Rokan (segmen 1-5)</t>
  </si>
  <si>
    <t>Coaching-II CIP : PCP Jejak Si Gondrong</t>
  </si>
  <si>
    <t>Pembahasan terkait dengan Losses di Pipa Tempino</t>
  </si>
  <si>
    <t>Distribusi Notulen Rapat dengan BPH Migas tgl. 26 September 2024 dengan agenda Konfirmasi Parameter Review Tarif Pengangkutan Gas Bumi Melalui Pipa Area JBB, JBT dan KAL Milik PT Pertamina Gas</t>
  </si>
  <si>
    <t>Monitoring dan review deklarasi perjalanan (travel Expense)pekerja Fungsi CC via MySAP</t>
  </si>
  <si>
    <t>1. VP TM
2. VP IM
3. Corsec</t>
  </si>
  <si>
    <t>Drafting Memo perihal Kebutuhan Pemenuhan Dokumen untuk Pengurusan Izin Usaha Sementara (IUS) Pengangkutan Pipa Minyak Rokan</t>
  </si>
  <si>
    <t>Drafting dan submit Nota Permohonan Reimbursement Cash Card Manager Commercial Capacity periode September 2024</t>
  </si>
  <si>
    <t xml:space="preserve">Konfirmasi Dispute Kesesuaian Tagihan KOMITE Kegiatan FGD BPH Migas - PERTAGAS </t>
  </si>
  <si>
    <t>ANI/NFS</t>
  </si>
  <si>
    <t>Rapat Proses PKKPR Pipeline Rokan</t>
  </si>
  <si>
    <t>Drafting Memo Undangan Rapat Cisem Tahap I (Semarang Tahap I)</t>
  </si>
  <si>
    <t>Rapat Pembahasan Izin Usaha Sebagai Persayaratan PLO dan Shipper Stock Niaga Gas</t>
  </si>
  <si>
    <t>Rapat PD TW III 2024 Manager Commercial Capacity</t>
  </si>
  <si>
    <t>Workshop Evaluasi Keekonomian Ruas Pipa Tempino – Sei Gerong di Bandung</t>
  </si>
  <si>
    <t>Pembahasan Timeline Operatorship dan Pengawasan Pembangunan Pipa Cisem-2 bersama Lemigas via ZOOMING</t>
  </si>
  <si>
    <t>Monthly Meeting Kinerja Dit. Komersial Periode September 2024</t>
  </si>
  <si>
    <t>Diskusi IUS Rokan Segmen 1 - 5</t>
  </si>
  <si>
    <t>Rapat Pembahasan dokumen mekanisme imbalan Pengelolaan Cisem-1 dan format laporan bulanan</t>
  </si>
  <si>
    <t>Rapat Pembahasan Tentang Harga Gas KCC atas Toll Fee Pipa Gresem dan Cisem</t>
  </si>
  <si>
    <t>Pembahasan Amendemen PPG Pertagas-PGN untuk SSA dan NSA</t>
  </si>
  <si>
    <t>und dari PGN</t>
  </si>
  <si>
    <t>und dari BPH Migas</t>
  </si>
  <si>
    <t>Zooming</t>
  </si>
  <si>
    <t>Monthly Meeting Fungsi Commercial Capacity &amp; Asset Periode September 2024</t>
  </si>
  <si>
    <t>Koordinasi dengan Fungsi Land Management dan review dokumen surat kepada Kementerian ESDM terkait IUS Rokan</t>
  </si>
  <si>
    <t>Corsec</t>
  </si>
  <si>
    <t>[CALMET] : Rapat Pembahasan Tentang Harga Gas KCC atas Toll Fee Gresem dan Cisem</t>
  </si>
  <si>
    <t xml:space="preserve">Amendemen </t>
  </si>
  <si>
    <t xml:space="preserve"> [SIRKULER] : Amendemen-IV PPG PERTAGAS dan IGAS</t>
  </si>
  <si>
    <t>[CALMET] : Rapat BPH Migas Monitoring Kualitas Gas Bumi Shipper PERTAGAS OWJA</t>
  </si>
  <si>
    <t>Koordinasi dengan Fungsi Land Management terkait surat Penyampaian Surat Pernyataan Kepada ESDM untuk IUS WK Rokan</t>
  </si>
  <si>
    <t>Koordinasi korespondensi surat Kepala BPH Migas No.T-538/MG.01/BPH/2024 tanggal 1 Oktober 2024 perihal Tindak Lanjut Usulan Penetapan Tarif</t>
  </si>
  <si>
    <t>Drafting Memo undangan Rapat BPH Migas Monitoring Kualitas Gas Bumi Shipper PERTAGAS OWJA</t>
  </si>
  <si>
    <t>Materi Rapat</t>
  </si>
  <si>
    <t>Input data Pipa Rokan untuk Materi KOM Perizinan Lingkungan</t>
  </si>
  <si>
    <t>Koordinasi dengan ITC untk Permintaan akses Fungsi Treasury ke Sistem Komersial terkait dengan List Perjanjian</t>
  </si>
  <si>
    <t>Drafting SPK Stakeholder Engagement PERTAGAS dengan Cikarang Listrindo &amp; Ditjen Migas</t>
  </si>
  <si>
    <t>Drafting Surat Perpanjangan Amendemen PPG antara PT Pertamina Gas dan PT Pertamina (Persero) untuk Kebutuhan SPBG</t>
  </si>
  <si>
    <t>Rapat Monitoring dan Inventarisasi Penerapan Sanksi atas Kualitas Gas Bumi Shipper pada Pipa Pengangkutan Milik PT Pertamina Gas OWJA</t>
  </si>
  <si>
    <t>[SIRKULER : Kesepakatan Bersama Pembayaran Kompensasi Biaya Tambahan Atas Pengaliran di Ruas MKMT untuk Kebutuhan Commissioning</t>
  </si>
  <si>
    <t>ANI/RP</t>
  </si>
  <si>
    <t>Koordinasi dengan Fungsi Finance terkait invoice dan bukti pembayaran SHIPPER Monthly Report September 2024</t>
  </si>
  <si>
    <t xml:space="preserve">[SIRKULER : Kesepakatan Bersama Pembayaran Kompensasi Biaya Tambahan Atas Pengaliran di Ruas MKMT untuk Kebutuhan Commissioning </t>
  </si>
  <si>
    <t>Drafting Surat Komitmen PERTAGAS untuk pengurusan PKKPR Pipeline Rokan</t>
  </si>
  <si>
    <t>Koordinasi persiapan GIA 2024 (PCP Jejak si Gondrong)</t>
  </si>
  <si>
    <t xml:space="preserve">INLINE </t>
  </si>
  <si>
    <t>Submit IUS Rokan Segmen 1 - 5 via Aplikasi INLINE</t>
  </si>
  <si>
    <t>Koordinasi dengan Fungsi Financial Controller terkait invoice SHIPPER IAE</t>
  </si>
  <si>
    <t>Progress Stabilisasi Go Live Layanan Full Digitalisasi Invoice &amp; Payment (iVendor) di Pertagas</t>
  </si>
  <si>
    <t xml:space="preserve">Drafting dan Submit ke KOMITE SPK reimburse kegiatan Site Visit BPH Migas ke Operation Kalimantan Area </t>
  </si>
  <si>
    <t>Input/update data PERJANJIAN untuk Laporan Keuangan Konsolidasian PT PGN Tbk. TW III 2024 PGN</t>
  </si>
  <si>
    <t>[REIMBURSE] : Klaim Reimburse Kesehatan Pekerja an. Haslinda</t>
  </si>
  <si>
    <t>Drafting Amendemen-IV KB GTA PERTAGAS dan PIM</t>
  </si>
  <si>
    <t>Koordinasi dengan Tim Perizinan DJMIGAS terkait Proses Pengajuan IUS Rokan Segmen 1 - 5</t>
  </si>
  <si>
    <t xml:space="preserve">Proses sirkuler Memo Side Letter pada PPG dan OTA </t>
  </si>
  <si>
    <t>Drafting surat ke DJMIGAS perihal Persetujuan Kesesuaian Kegiatan Pemanfaatan Ruang (PKKPR) Pipa Minyak Rokan Milik PT Pertamina Gas</t>
  </si>
  <si>
    <t>Korespondensi ke DJMIGAS untuk surat Dirut PERTAGAS No.334/PG0000/2024-S0 perihal Persetujuan Kesesuaian Kegiatan Pemanfaatan Ruang (PKKPR) Pipa Minyak Rokan Milik PT Pertamina Gas</t>
  </si>
  <si>
    <t xml:space="preserve">Data Customer </t>
  </si>
  <si>
    <t>Input/submit data Konfirmasi Terkait Responden Fungsi Commercial Capacity - Indepth Interview - Customer Satisfaction Th. 2024</t>
  </si>
  <si>
    <t>Distribusi Memo No.194/PG4200/2024-S0 tanggal 10 Oktober 2024 perihal Penyampaian Hasil Workshop Perihal Penerapan Side Letter atas Perjanjian Pengangkutan Gas dan Minyak</t>
  </si>
  <si>
    <t>Proses Review</t>
  </si>
  <si>
    <t>Monitoring proses review surat permohonan reference letter sebagai pendukung rencana kerja sama PLN EPI dengan penyedia LNG</t>
  </si>
  <si>
    <t>Nota &amp; Surat</t>
  </si>
  <si>
    <t xml:space="preserve">Proses Sirkuler Nota dan Surat Nota Dirkom kepada Dirut untuk penandatanganan Reference Letter PLN EPI </t>
  </si>
  <si>
    <t>Input/update Monthly Report Fungsi CCA Periode September 2024</t>
  </si>
  <si>
    <t>Koordinasi dengan Fungi Technical Management dn Land Management terkait PKKPR Pipeline Rokan</t>
  </si>
  <si>
    <t xml:space="preserve">Drafting, verifikasi dan submit SPK kepada KOMITE perihal Stakeholder Engagement antara PERTAGAS dengan SKK Migas dan Perta Samtan Gas (PSG) </t>
  </si>
  <si>
    <t>Rapat Verifikasi LAP PERTAGAS ONSA dan ODDA Tahun 2023</t>
  </si>
  <si>
    <t>Rapat Zooming</t>
  </si>
  <si>
    <t>Reservasi Meeting Room</t>
  </si>
  <si>
    <t>Koordinasi dengan beberapa Hotel di Bandung dalam rangka resevasi meeting room untuk Workshop Pipa Tempino</t>
  </si>
  <si>
    <t>Drafting Memo undangan Workshop Evaluasi Keekonomian Ruas Pipa Tempino – Sei Gerong</t>
  </si>
  <si>
    <t>Submit Pelaporan Kegiatan Usaha MIGAS (Pipa Tempino dan Pipa Rokan) Periode September 2024 PT Pertamina Gas</t>
  </si>
  <si>
    <t>Drafting dan submit P-Office Memo GL Akomodasi Ruang Rapat untuk Workshop Pipa Tempino di Hotel Pullman Bandung</t>
  </si>
  <si>
    <t>Rapat Offline</t>
  </si>
  <si>
    <t>Drafting Memo tanggapan ke Corsec terkait Biaya Pengurusan PKKPR Pipa Rokan Segmen 1 -5</t>
  </si>
  <si>
    <t>Kenderaan Operasional</t>
  </si>
  <si>
    <t>[REQUEST] : Kenderaan Operasional bagi pekerja Fungsi CC untuk menghadiri Workshop Evaluasi Keekonomian Ruas Pipa Tempino di Bandung</t>
  </si>
  <si>
    <t>Submit Memo No.033/PG4220/2024-S0 tanggal 17 Oktober 2024 perihal Akomodasi Ruang Rapat Workshop Evaluasi Keekonoman Ruas Pipa Tempino – Sei Gerong yang akan dilaksanakan pada tanggal 17 Oktober 2024 di Hotel Pullman Bandung</t>
  </si>
  <si>
    <t>[CALMET] : PD TW III Tahun 2024 Manager Commercial Capacity, hari Rabu tgl 16 Oktober 2024 via M-Teams</t>
  </si>
  <si>
    <t>Dinas ke Bandung (Workshop Tempino)</t>
  </si>
  <si>
    <t>No.197/PG4200/2024-S0 tanggal 16 Oktober 2024 perihal Informasi Biaya Pengurusan PKKPR Pipa Minyak Rokan</t>
  </si>
  <si>
    <t>Konfirmasi kepada KOMITE terkait SPK Rapat BPH Migas terkaig Gas Offspec WJA, Stakeholder Engagement PERTAGAS dengan SKK Migas dan PSG</t>
  </si>
  <si>
    <t>Submit Notulen ke Fungsi Commercial Support perihal Notulen PD TW III 2024 Manager Commercial Capacity</t>
  </si>
  <si>
    <t>Distribusi Surat Direktur Komersial PERTAGAS perihal Penambahan Titik Serah PGN Sunyaragi</t>
  </si>
  <si>
    <t>Korespondensi Surat APGWI perihal Permohonan Relaksasi Ketentuan Ship of Pay</t>
  </si>
  <si>
    <t>Rapat Kordinasi Penyaluran Minyak OCSA di Hotel Swisbell Jambi</t>
  </si>
  <si>
    <t>Drafting SPK Forum International BIXPO 2024 dan Courtesy Meeting di Korea Selatan</t>
  </si>
  <si>
    <t>Shring Undangan Rapat BPH Migas Verifikasi LAP PERTAGAS ONSA dan ODDA Tahun 2023</t>
  </si>
  <si>
    <t>Monitoring sirkuler surat Tanggapan Penyampaian Review Tarif Pengangkutan Gas Bumi Melalui Pipa PT Pertamina Gas</t>
  </si>
  <si>
    <t xml:space="preserve">Sirkuler Memo pengajuan lumpsum Manager Commercial Capacity untuk mengikuti Forum CIP Tahun 2024 – BIXPO Korea Selatan </t>
  </si>
  <si>
    <t>SPD LN</t>
  </si>
  <si>
    <t>Koordinasi dengan Fungsi HCBS terkait SPD LN Korea Selatan Manager Commercial Capacity</t>
  </si>
  <si>
    <t>[SIRKULER] : Amendemen-IV PPG PERTAGAS &amp; PTGN (Untuk Area SSA)</t>
  </si>
  <si>
    <t>Korespondensi ke PLN perihal  Reference Letter to QatarEnergy</t>
  </si>
  <si>
    <t>Distribusi ke sekretaris Dirut terkait surat IAE No.24.098/IAE.PTG/X/2024 tanggal 23 Oktober 2024 perihal  Permohonan Penyesuaian DRC 202</t>
  </si>
  <si>
    <t>Workshop Awal Kepuasan Pelanggan 2024 &amp; Integrasi dalam Strategi Peningkatan Pelayanan 2025</t>
  </si>
  <si>
    <t xml:space="preserve">Drafting Nota Dirkom kepada Dirut untuk penandatanganan Amendemen-IV PPG PERTAGAS dan IGAS di Jawa Barat </t>
  </si>
  <si>
    <t>Submit ke KOMITE perihal SPK Forum International BIXPO 2024 dan Courtesy Meeting di Korea Selatan</t>
  </si>
  <si>
    <t>Monitoring prose surkuler Memo  Tanggapan kepada FM OWR atas Rencana Tindaklanjut Penyelesaian Outstanding OTA Shipper PT Bumi Siak Pusako</t>
  </si>
  <si>
    <t>Forum CIP Gas Innovation Awards (GIA) 2024 di Hotel Shangrila Jakarta</t>
  </si>
  <si>
    <t>CIP</t>
  </si>
  <si>
    <t>AVE</t>
  </si>
  <si>
    <t xml:space="preserve">Pembahasan Lanjutan untuk Finalisasi Draft OTA Pertagas dan EMP Tonga
</t>
  </si>
  <si>
    <t>Technical Meeting Forum CIP Gas Innovation Awards (GIA) 2024</t>
  </si>
  <si>
    <t xml:space="preserve">Koordinasi dengan BPH Migas tekait Survei Layanan Penetapan Tarif Pengangkutan </t>
  </si>
  <si>
    <t>Korenspondensi Surat BPH Migas Gas No. 331/PG0000/2024-S0 tanggal 4 Oktober 2024 perihal Tanggapan Penyampaian Review Tarif Pengangkutan Gas Bumi Melalui Pipa PT Pertamina Gas</t>
  </si>
  <si>
    <t>Drafting dan submit P-Office Undangan Undangan Rapat Amendemen-II PPG antara PERTAGAS dengan PT MPE, Senin 4 Nov 2024</t>
  </si>
  <si>
    <t>Drafting dan Submit P-Office Undangan Rapat Rencana Kerjasama antara PERTAGAS dengan PT Lestari Nasional Gas &amp; Site Visit ke GRE Station, Kamis - Jumat/31 Okt - 1 Nov 2024</t>
  </si>
  <si>
    <t>Seremoni Penutupan Forum CIP Gas Innovation Awards (GIA) 2024 dan Awarding</t>
  </si>
  <si>
    <t>Diskusi Pola Operasi Gas dari Lapangan Tambun dan Pemanfaatan Alat Ukur bersama antara PT Pertamina EP, PT Pertamina Gas dan EHK</t>
  </si>
  <si>
    <t>Rapat M-Teams</t>
  </si>
  <si>
    <t xml:space="preserve">Distribusi Surat SHIPPER ke Sekre Dirut perihal Permohonan Persetujuan Penyaluran Minyak Mentah Tonga Melalui Pipeline PT Pertamina Gas (“PERTAGAS”), </t>
  </si>
  <si>
    <t>[CALMET] : Finalisasi Verifikasi Laporan Akun Pengaturan PERTAGAS Tahun 2023, 15 Nov 2024 di Malang</t>
  </si>
  <si>
    <t>Koordinasi dengan Fungsi HC dan Treasury terkait SPD LN dan Lumpsum CIP Korea 2024</t>
  </si>
  <si>
    <t>Lumpsum SPD LN</t>
  </si>
  <si>
    <t>Rapat Pembahasan Amendemen-IV PPG antara PERTAGAS dengan MPE di SSA</t>
  </si>
  <si>
    <t>Public Hearing Tarif HGBT Sektor Industri Paska Kepmen ESDM No.255 Tahun 2024</t>
  </si>
  <si>
    <t>Diskusi Responden Kepuasan Pelanggan (Customer Satisfaction PERTAGAS)</t>
  </si>
  <si>
    <t>Und dari Mardev</t>
  </si>
  <si>
    <t>Diskusi Final Persiapan Pelaksanaan 35 IDI dan 150 Kuisioner Online CSS PERTAGAS 2024</t>
  </si>
  <si>
    <t>Rapat Pembahasan Rekon Cisem Tahap I</t>
  </si>
  <si>
    <t>Pembahasan Internal atas Offspec Gas PT Bayu Buana Gemilang di Jawa Barat</t>
  </si>
  <si>
    <t>ABE/ANI/RP</t>
  </si>
  <si>
    <t>Rapat Pembahasan Amendemen-IV KB PPG antara PERTAGAS dan PIM</t>
  </si>
  <si>
    <t>Rapat BPH Migas Finalisasi Verifikasi Laporan Akun Pengaturan PT Pertamina Gas Tahun Buku 2023</t>
  </si>
  <si>
    <t>Dinas ke Malang</t>
  </si>
  <si>
    <t>Rapat Pembahasan Perpanjangan OTA SE BWP Meruap - PERTAGAS</t>
  </si>
  <si>
    <t>Koordinasi Persiapan GIA Subholding Gas</t>
  </si>
  <si>
    <t>Amendemen PPG PERTAGAS dengan PLN dan PLN EPI (MK-MT)</t>
  </si>
  <si>
    <t>Surat Pjs. Manager Commercal Capacity PT Pertamina Gas No.037/PG4220/2024-S0 perihal Undangan Rapat Pembahasan Amendemen-III PPG antara PERTAGAS dengan PT Multidaya Prima Elektrindo, Senin 4 Nov 2024</t>
  </si>
  <si>
    <t>Settlement Cash Card Manager Commercial Capacity Periode Oktober 2024</t>
  </si>
  <si>
    <t>Man CS</t>
  </si>
  <si>
    <t>Penandatanganan surat tanggapan kepada EMP Tonga perihal OTA PERTAGAS dan EMP Tonga</t>
  </si>
  <si>
    <t>Dirut</t>
  </si>
  <si>
    <t>Memorandum Pjs. VP Commercial Capacity &amp; Asset No. 209/PG4200/2024-S0 tanggal 1 November 2024 perihal Tanggapan atas Rencana Tindaklanjut Penyelesaian Outstanding OTA Shipper PT Bumi Siak Pusako</t>
  </si>
  <si>
    <t>Pjs. VP CCA</t>
  </si>
  <si>
    <t>GM OWR</t>
  </si>
  <si>
    <t>Koordinasi dengan KOMITE terkait Konfirmasi Dispute Kesesuaian Tagihan</t>
  </si>
  <si>
    <t>Drafting KB Stakeholder Engagement Fungsi Commercial Capacity Tahap III tahun 2024</t>
  </si>
  <si>
    <t>Monitoring dan review deklarasi perjalanan dinas pekerja Fungsi Commercial Capacity</t>
  </si>
  <si>
    <t>Deklarasi PTC</t>
  </si>
  <si>
    <t>Submit Deklarasi SPD Jambi dan  Bandung an. Sulistiani</t>
  </si>
  <si>
    <t>Distribusi undangan FGD Kajian Pengaturan Pemberian Hak Khusus oleh BPH Migas</t>
  </si>
  <si>
    <t xml:space="preserve">Distribusi surat EHK perihal Permohonan Pemanfaatan Pipa Transmisi Gresik-Semarang </t>
  </si>
  <si>
    <t>Distribusi Notulen Rapat antara PERTAGAS dan PGN tanggal 6 November 2024 perihal Pembahasan Implementasi Tarif HGBT untuk Pengangkutan Gas ke KCC</t>
  </si>
  <si>
    <t>Rapat
Zooming</t>
  </si>
  <si>
    <t>Reminder</t>
  </si>
  <si>
    <t>Koordinasi dengan SHIPPER yang akan berakhir jangka waktu PERJANJIAN tanggal 31 Desember 2024</t>
  </si>
  <si>
    <t>FGD Kajian Pengaturan Hak Khusus oleh BPH Migas</t>
  </si>
  <si>
    <t>Distribusi surat Dirut PERTAGAS No. 357/PG000/2024-S0 tanggal 31 Oktober 2024 perihal Perjanjian Pengangkutan Minyak dan Pengaliran Minyak PT EMP Tonga</t>
  </si>
  <si>
    <t>SBLC</t>
  </si>
  <si>
    <t>Koordinasi dengan Fungsi Treasury terkait perhitungan Permohonan Permintaan Surat Perpanjangan SBLC 2024 SHIPPER PT Pura Daya Prima</t>
  </si>
  <si>
    <t>Input &amp; update Database PERJANJIAN Pengangkutan Gas dan Minyak</t>
  </si>
  <si>
    <t>Submit Perhitungan Perpanjangan SBLC PT Pura Daya Prima perode tahun 2025</t>
  </si>
  <si>
    <t>[CALMET] : Rapat Amendemen-IV KB PPG antara PERTAGAS dan PIM, Senin 11 November 2024 via M-Teams</t>
  </si>
  <si>
    <t>Update Data Final Koresponden - Customer Satisfaction Survey PTG 2024 - Markplus</t>
  </si>
  <si>
    <t>Submit KB Stakeholder Engagement Fungsi Commercial Capacity Tahap III tahun 2024</t>
  </si>
  <si>
    <t>Drafting Memo ke internal PERTAGAS untuk penyampaian IUS Pipa Minyak Rokan Segmen 1 – 5</t>
  </si>
  <si>
    <t>Distribusi undangan BPH Migas FGD Kajian Distribusi undangan Analisa Kapasitas Pipa Pengangkutan Gas Bumi TA 2024</t>
  </si>
  <si>
    <t xml:space="preserve">Memorandum VP Commercial Capacity &amp; Asset No. 212/PG4200/2024-S0 tanggal 11 November 2024 perihal Izin Usaha Sementara Pengangkutan PT Pertamina Gas di Pipa Minyak Rokan </t>
  </si>
  <si>
    <t>Monthly Meeting Kinerja Direktorat Komersial Periode Oktober 2024</t>
  </si>
  <si>
    <t>KB Swap</t>
  </si>
  <si>
    <t>Monitoring proses sirkuler Amendemen-II Kesepakatan Bersama Swap Gas Bumi untuk Penyaluran Gas ke PT Cikarang Listrindo Tbk</t>
  </si>
  <si>
    <t>KB GTA</t>
  </si>
  <si>
    <t>Update draft ndemen-IV KB PPG antara PERTAGAS dan PIM</t>
  </si>
  <si>
    <t>Distribusi Undangan BPH Migas Finalisasi Verifikasi Laporan Akun Pengaturan PERTAGAS Tahun 2023</t>
  </si>
  <si>
    <t>Monitoring proses sirkuler Surat Pengaliran gas ex LNG PGN di ruas pipa Arun - Belawan</t>
  </si>
  <si>
    <t>Submit settlement SPK Kegiatan GIA 2024 Fungsi Commercial Capacity &amp; Asset (Jejak si Gondrong)</t>
  </si>
  <si>
    <t>Proses sirkuler Nota VP CCA kepada Direktur Komersial untuk penandatanganan Izin Prinsip Pengurang Ship or Pay PT SEP periode Tahun 2020</t>
  </si>
  <si>
    <t xml:space="preserve">Submit ke DJMIGAS Laporan Kegiatan Usaha Pengangkutan Minyak Bumi melalui Pipa PT Pertamina Gas Periode Oktober 2024 </t>
  </si>
  <si>
    <t xml:space="preserve">Drafting Memo Guarantee Letter untuk  Akomodasi Ruang Rapat Finalisasi OTA PT Bumi Siak Pusako </t>
  </si>
  <si>
    <t>Rapat Finalisasi OTA BSP tahun 2024</t>
  </si>
  <si>
    <t xml:space="preserve">Memorandum Manager Commercial Capacity No.039/PG4220/2024-S0 tanggal 15 Oktober 2024 perihal Akomodasi Ruang Rapat Finalisasi OTA PT Bumi Siak Pusako di Ruas Pipa Rokan </t>
  </si>
  <si>
    <t>Submit dokumen-dokumen pendukung (recital) atas draft Amendemen-II Kesepakatan Bersama Swap Gas Bumi untuk Penyaluran Gas ke PT Cikarang Listrindo Tbk</t>
  </si>
  <si>
    <t xml:space="preserve">Koordinasi dan monitoring proses sirkuler KB Perjanjian Pengangkutan Minyak Bumi Melalui Pipa Rokan antara PERTAGAS dan EMP Gandewa </t>
  </si>
  <si>
    <t xml:space="preserve">Monitoring proses sirkuler Amendemen PPG PERTAGAS dengan PLN &amp; PLN EPI di Jawa Barat (MK-MT) </t>
  </si>
  <si>
    <t>Input dan upload dokumen PERJANJIAN ke Portal PERTAGAS (RC System)</t>
  </si>
  <si>
    <t>Monitoring dan review deklarasi pekerja Fungsi Commercial Capacity di TOUR dan MySAP</t>
  </si>
  <si>
    <t>Technical Meeting Sportarcular PERTAMINA Cabor SENAM</t>
  </si>
  <si>
    <t>Memorandum VP Commercial Capacity &amp; Asset No.216/PG4200/2024-S1 tanggal 19 November 2024 perihal Pengaliran Gas ex-LNG PT PGN di Ruas Transmisi Pipa Arun-Belawan</t>
  </si>
  <si>
    <t>Koordinasi dengan PIM terkait draft Amendemen-IV KB PPG PERTAGAS di NAD</t>
  </si>
  <si>
    <t>Surat Direktur Utama PT Pertamina Gas No.371/PG0000/2024-S0 tanggal 12 November 2024 perihal Pengaliran Gas ex-LNG PGN Melalui Pipa Transmisi Arun-Belawan</t>
  </si>
  <si>
    <t>[SIRKULER] : Amendemen PPG PERTAGAS &amp; PLN MK MT</t>
  </si>
  <si>
    <t>CIP SHG</t>
  </si>
  <si>
    <t>Monitoring dan koordinasi dengan KOMITE terkait SPK Forum International BIXPO 2024 dan Courtesy Meeting dengan Samtan International di Korea</t>
  </si>
  <si>
    <t>Monitoring proses sirkuler Undangan Customer Appreciation Day PERTAGAS 2024</t>
  </si>
  <si>
    <t>Revisi dan Monitoring proses sirkuler Undangan Customer Appreciation Day PERTAGAS 2024</t>
  </si>
  <si>
    <t>Monitoring dan koordinasi dengan IGAS terkait sirkuler dokumen hard copy Amendemen-IV PPG antara PERTAGAS dengan PT Igas Utama (Untuk Area JBB)</t>
  </si>
  <si>
    <t xml:space="preserve">Distribusi Undangan Customer Appreciation Day Tahun 2024 PT Pertamina Gas ke 54 SHIPPER/KONSUMEN </t>
  </si>
  <si>
    <t>Diskusi Persiapan Customer Appreciation Day PERTAGAS 2024 terkait Awarding</t>
  </si>
  <si>
    <t>Persiapan Kegiatan Forum Sharing Continuous Improvement Program Subholding Gas 2024</t>
  </si>
  <si>
    <t>CAD</t>
  </si>
  <si>
    <t>Koordinasi dengan Para SHIPPER Minyak dan Gas terkait Acara Customer Appreciation Day PERTAGAS 2024</t>
  </si>
  <si>
    <t>CAD 2024</t>
  </si>
  <si>
    <t>Sportartcular</t>
  </si>
  <si>
    <t>[SIRKULER] : Amendemen-V PPG PERTAGAS dan EHK di Jawa Barat</t>
  </si>
  <si>
    <t>Diskusi Inquiry Pendapatan Pertagas 2024</t>
  </si>
  <si>
    <t>Distribusi Undangan Customer Appreciation Day Tahun 2024 PT Pertamina Gas</t>
  </si>
  <si>
    <t>Reminder Para SHIPPER untuk registrasi Customer Appreciation PERTAGAS 2024</t>
  </si>
  <si>
    <t xml:space="preserve">Monitoring proses sirkuler Amendemen-V PPG PERTAGAS dan EHK di Jawa Barat
</t>
  </si>
  <si>
    <t xml:space="preserve">Kegiatan CIP Program Subholding Gas 2024 </t>
  </si>
  <si>
    <t>Kegiatan Forum CIP Program Subholding Gas 2024 (Presentasi)</t>
  </si>
  <si>
    <t>Koordinasi revisi risalah CIP Gugus Jejak si Gondrong pasca Presentasi di Forum CIP Sub Holding Gas 202</t>
  </si>
  <si>
    <t>Kegiatan Lomba Senam dalam rangka Sportartcular HUT PT Pertamina (Persero)</t>
  </si>
  <si>
    <t>Persiapan pengadaan perlengkapan lomba senam dalam rangka Sportartcular HUT PT Pertamina (Persero)</t>
  </si>
  <si>
    <t xml:space="preserve">Drafting Memo dan Surat untuk penyampaian Amendemen-IV PPG antara PERTAGAS dengan PT Igas Utama (Untuk Area JBB) </t>
  </si>
  <si>
    <t>Daftar Terlampir</t>
  </si>
  <si>
    <t xml:space="preserve">Drafting Memo dan Surat untuk penyampaian Amendemen-IV PPG PERTAGAS - PTGN di SSA </t>
  </si>
  <si>
    <t>Submit Deklarasi Pekerja an. Sulistiani (Malang)</t>
  </si>
  <si>
    <t>Distribusi Undangan Customer Appreciation Day Tahun 2024 PT Pertamina Gas kepada BOD PERTAGAS, Konsumen Commercial Asset dan Niaga</t>
  </si>
  <si>
    <t>Koordinasi dengan SHIPPER dan EO Custoner Appreciation Day PERTAGAS terkait registrasi</t>
  </si>
  <si>
    <t>Distribusi Undangan Customer Appreciation Day Tahun 2024 PT Pertamina Gas kepada Konsumen Commercial Asset dan Niaga</t>
  </si>
  <si>
    <t>Rapat Koordinasi dengan EO Customer Appreciation Day Tahun 2024 PT Pertamina Gas</t>
  </si>
  <si>
    <t>Fungsi OWA</t>
  </si>
  <si>
    <t>Ceremony Signing Amendemen-V PPG PERTAGAS dan EHK di Jawa Barat</t>
  </si>
  <si>
    <t>Drafting &amp; Submit Nota Permohonan Reimbursement Cash Card Manager Commercial Capacity periode November 2024</t>
  </si>
  <si>
    <t>Cash Card</t>
  </si>
  <si>
    <t>Lomba</t>
  </si>
  <si>
    <t xml:space="preserve">Surat VP Commercial Capacity &amp; Asset PT Pertamina Gas No. 219/PG4200/2024-S0 tangga 26 November 2024 perihal Amendemen-IV PPG antara PERTAGAS &amp; IGAS (Untuk Area JBB). </t>
  </si>
  <si>
    <t>IGAS</t>
  </si>
  <si>
    <t>surat Direktur Komersial PT Pertamina Gas No.152/PG4000/2024-S0 tanggal 28 November 2024 perihal Permohonan Video Testimoni Pelanggan PT Pertamina Gas</t>
  </si>
  <si>
    <t>Dirut PHR</t>
  </si>
  <si>
    <t>No.220/PG4200/2024-S0 untuk penyampaian dokumen hard copy Amendemen-IV PPG PERTAGAS dengan PT Pertagas Niaga (Area SUMSEL)</t>
  </si>
  <si>
    <t>Diskusi Tarif Toll Fee antara PT RDA dan PT Pertamina Gas</t>
  </si>
  <si>
    <t>Koordinasi dengan para SHIPPER transportasi gas/minyak terkait kegiatan Customer Appreciation Day PERTAGAS 2024</t>
  </si>
  <si>
    <t>Vera</t>
  </si>
  <si>
    <t>Distribusi undangan dan koordinasi dengan EO terkait registrasi para UNDANGAN Customer Appreciation Day PERTAGAS 2024</t>
  </si>
  <si>
    <t>Rapat via Zooming</t>
  </si>
  <si>
    <t>Und dari 
BPH Migas</t>
  </si>
  <si>
    <t>Rapat Pembahasan Kelanjutan Pengurusan KKPR Project Cikampek – Plumpang dengan KBLI 49300</t>
  </si>
  <si>
    <t>Fungsi Land</t>
  </si>
  <si>
    <t>Rapat
MS Teams</t>
  </si>
  <si>
    <t>Rapat BPH Migas Access Arrangement (AA) PERTAGAS Area Jawa Barat dan Public Hearing</t>
  </si>
  <si>
    <t xml:space="preserve">Distribusi Notulen Rapat tanggal 2 Desember 2024 dengan agenda Pembahasan Rencana Pemanfaatan Gas PEP oleh RDA </t>
  </si>
  <si>
    <t>Settlement dan Submit SPK ke KOMITE perihal SPK Reimburse Biaya Perlengkapan CIP SHG 2024 &amp; Sportartcular PERTAMINA</t>
  </si>
  <si>
    <t>Distribusi undangan Customer Appreciation Day PERTAGAS ke beberapa SHIPPER dan BPH Migas</t>
  </si>
  <si>
    <t>Recital</t>
  </si>
  <si>
    <t>Submit dokumen recital dan dok pendukung lainnya ke Fungsi Legal untuk proses review Amendemen-X PPG PERTAGAS dan PGN di Jawa Barat</t>
  </si>
  <si>
    <t>DINAS ke BALI</t>
  </si>
  <si>
    <t>Customer Appreciation Day Tahun 2024 PT Pertamina Gas</t>
  </si>
  <si>
    <t xml:space="preserve">Penyampaian Data Accrual ABO Fungsi Commercial Capacity Tahun 2024 </t>
  </si>
  <si>
    <t>Finalisasi OTA antara PERTAGAS dengan PT Bumi Siak Pusako</t>
  </si>
  <si>
    <t>Rapat Monitoring AR PERTAGAS</t>
  </si>
  <si>
    <t>Und dari FAR</t>
  </si>
  <si>
    <t>KB GtA</t>
  </si>
  <si>
    <t>[SIRKULER] : Amendemen-IV KB PPG antara PERTAGAS dan PIM</t>
  </si>
  <si>
    <t>Rekap dan settlement SPK ke KOMITE perihal Reimbursement Stakeholder Engagement PERTAGAS dengan SKK Migas &amp; BPH Migas</t>
  </si>
  <si>
    <t>Drafting Surat dan Memo untuk penyampaian Amendemen-V PPG PERTAGAS dan EHK di Jawa Barat yang sudah ditandatangani kedua belah PIHAK</t>
  </si>
  <si>
    <t>Drafting Memo Penyampaian Surat Keputusan Penetapan Tarif HGBT untuk PKG dan KCC Glass</t>
  </si>
  <si>
    <t>Proses Pengalihan anggaran di Fungsi Commercial Capacity tahun 2024</t>
  </si>
  <si>
    <t xml:space="preserve">Distribusi Surat No.229/PG4200/2024-S0 tanggal 12 Desember 2024 perihal Amendemen-V PPG antara PERTAGAS dengan PT Energasindo Heksa Karya (Untuk Area Jawa Bagian Barat) </t>
  </si>
  <si>
    <t xml:space="preserve">Memorandum Pjs. VP CCA No.230/PG4200/2024-S0 tanggal 12 Desember 2024 perihal Amendemen-V PPG antara PERTAGAS dengan PT Energasindo Heksa Karya (Untuk Area Jawa Bagian Barat) </t>
  </si>
  <si>
    <t>No.231/PG4200/2024-S0 tanggal 12 Desember 2024 perihal Penetapan Tarif Pengangkutan Gas Bumi Tertentu Melalui Pipa PERTAGAS (Tarif HGBT PKG dan KCC)</t>
  </si>
  <si>
    <t>[SIRKULER] : Amendemen-II PPG MPE &amp; PERTAGAS di SSA</t>
  </si>
  <si>
    <t>Monthly Meeting</t>
  </si>
  <si>
    <t>Monthly Meeting Kinerja Dit. Komersial Periode November 2024</t>
  </si>
  <si>
    <t xml:space="preserve">[SIRKULER] : Amendemen PPG PERTAGAS &amp; PLN MK-MT </t>
  </si>
  <si>
    <t>Submit dokumen recital dan dok pendukung lainnya ke Fungsi Legal untuk proses review Draft KB Penyelesaian SOP PLN Kanaan</t>
  </si>
  <si>
    <t xml:space="preserve"> [SIRKULER] : Amendemen-II PPG MPE &amp; PERTAGAS di SSA</t>
  </si>
  <si>
    <t>[CALMET] : Rapat BPH Migas Progress Pembangunan Pipa tahun 2024 &amp; Rencana Pembangunan Pipa tahun 2025</t>
  </si>
  <si>
    <t>PIC : fungsi BD</t>
  </si>
  <si>
    <t xml:space="preserve">Drafting KB Stakeholder Engagement Fungsi Commercial Capacity Tahap III tahun 2024 </t>
  </si>
  <si>
    <t>Distribusi Notulen Rapat tgl 8 Okt 2024 PERTAGAS &amp; PEP Kelanjutan Sinergi Kerjasama</t>
  </si>
  <si>
    <t xml:space="preserve">Memo VP CCA to GM OWR terkait pengaliran PLN Keramasan </t>
  </si>
  <si>
    <t>Submit SPK Reimbursement Akomodasi Ruang Rapat Finalisasi OTA PERTAGAS &amp; BSP</t>
  </si>
  <si>
    <t>Submit Pelaporan Kegiatan Usaha MIGAS (Minyak) Periode November 2024 PT Pertamina Gas</t>
  </si>
  <si>
    <t xml:space="preserve">Pembahasan Amendemen PPG PERTAGAS - SCE di Jawa Timur
</t>
  </si>
  <si>
    <t>Distribusi Notulen Rapat BPH Migas tanggal 3 Desember 2024 dengan agenda Pembahasan Langkah-langkah Persiapan Amandemen AA PT Pertamina Gas WJA</t>
  </si>
  <si>
    <t>ABO</t>
  </si>
  <si>
    <t>Koordinasi dengan Fungsi Finance terkait pengalihan anggaran di Fungsi Commercial Capacity tahun 2024</t>
  </si>
  <si>
    <t>No.232/PG4200/2024-S1 tanggal 17 Desember 2024 perihal Penyaluran Gas PLN di Area Sumatera Selatan</t>
  </si>
  <si>
    <t>Rapat Monitoring AR PERTAGAS terkait ASRIGITA dan SOP PLN Kanaan</t>
  </si>
  <si>
    <t>PDS</t>
  </si>
  <si>
    <t>Fungsi CCA</t>
  </si>
  <si>
    <t>No.233/PG4200/2024-S0 tanggal 17 Desember 2024 perihal Pemintaan Sirkuler Persetujuan Direksi Tentang Jaminan Pembayaran (PLN MK-MT dan OTA BSP)</t>
  </si>
  <si>
    <t>Rapat Pembahasan antara PGN - Pertagas terkait Draft Amendemen Perjanjian Pengangkutan Gas (PPG)</t>
  </si>
  <si>
    <t>[REVIEW] : Draft KB Penyelesaian SOP PLN Kanaan</t>
  </si>
  <si>
    <t>Accrual</t>
  </si>
  <si>
    <t>Proses approval VP CCA dokumen accrual fungsi Commercial Capacity tahun 2024 (SA dan BAST)</t>
  </si>
  <si>
    <t>Koordinasi dengan KOMITE terkait KB Stakeholder Engagement Fungsi Commercial Capacity Tahap IV tahun 2024</t>
  </si>
  <si>
    <t>Rekap dan submit Nota Permohonan Reimbursement Cash Card Manager Commercial Capacity periode Desember 2024</t>
  </si>
  <si>
    <t>Rapat BPH Migas  Pembahasan Parameter Review Tarif PERTAGAS</t>
  </si>
  <si>
    <t>Fungsi FAR</t>
  </si>
  <si>
    <t>No.235/PG4200/2024-S0 tanggal 20 Desember 2024 perihal Penegasan atas Pengangkutan Minyak TEMI pada Pipa Minyak Rokan</t>
  </si>
  <si>
    <t>Submit ke KOMITE SPK Reimburse Biaya Perlengkapan CIP SHG 2024 &amp; Sportartcular PERTAMINA</t>
  </si>
  <si>
    <t>Surat BPH Migas</t>
  </si>
  <si>
    <t>Distribusi Surat Kepala BPH Migas No.T-682/MG.01/BPH/2024 tanggal 18 Desember 2024 perihal Pemberitahuan Kembali Tindak Lanjut Usulan Penetapan Tarif Wunut-EJGP dan Balmun (Looping)</t>
  </si>
  <si>
    <t>Distribusi Notulen Rapat antara PERTAGAS dengan BPH Migas yang telah dilaksanakan pada tanggal 20 Desember 2024 dengan agenda pembahasan Parameter Review Tarif PERTAGAS Area SBS, SBU dan DDA</t>
  </si>
  <si>
    <t xml:space="preserve">Drafting Memo untuk penyampaian Amendemen PPG PERTAGAS -  PHKT untuk Area Kalimantan Timur </t>
  </si>
  <si>
    <t>Gugus Jejak si Gondrong</t>
  </si>
  <si>
    <t>Forum KOMET  - Jejak si Gondrong</t>
  </si>
  <si>
    <t xml:space="preserve"> [SIRKULER] : Amendemen-IV KB PPG antara PERTAGAS dan PIM</t>
  </si>
  <si>
    <t>Distribusi surat No.040/PG4220/2024-S4 tanggal 23 Desember 2024 perihal Pengaliran Gas Milik PT Asrigita Prasarana</t>
  </si>
  <si>
    <t>Asrigita</t>
  </si>
  <si>
    <t>Rapat Rekonsiliasi Tarif dan Tagihan Toll Fee PKG</t>
  </si>
  <si>
    <t>Und dari OEJA</t>
  </si>
  <si>
    <t>FAR</t>
  </si>
  <si>
    <t>Koordinasi dengan KOMITE terkait proforma invoice dan BAST untuk keperluan Accrual tahun 2024</t>
  </si>
  <si>
    <t>[SIRKULER] : Amendemen PPG PERTAGAS - PGN di NSA, SSA, dan WJA</t>
  </si>
  <si>
    <t xml:space="preserve">Proses sirkuler Draft Surat Tanggapan kepada BPH Migas terkait Pengajuan Tarif Ruas Balmun Looping &amp; EJGP Wunut 
</t>
  </si>
  <si>
    <t>No.428/PG0000/2024-S0 tanggal 24 Desember 2024 perihal Penyampaian Tanggapan atas Tindaklanjut Pengajuan Tarif Ruas Pipa Wunut – EJGP dan Balongan – Mundu (Looping)</t>
  </si>
  <si>
    <t>FAR &amp; OSSA</t>
  </si>
  <si>
    <t>[REMINDER] : Amendemen-II PPG MPE &amp; PERTAGAS di SSA</t>
  </si>
  <si>
    <t>Input dan upload PERJANJIAN yang suda ditandatangani ke PORTAL PERTAGAS (RC System)</t>
  </si>
  <si>
    <t>Workshop Final Pelaksanaan Customer Satisfaction Survey Tahun 2024 dan Evaluasi Peningkatan CSS Tahun 2025</t>
  </si>
  <si>
    <t>Create PR/PO/SA dan BAST untuk tagihan proses accrual tahun 2024</t>
  </si>
  <si>
    <t>Submit ke Fungsi Commercial Support data accrual Fungsi Commercial Capacity tahun 2024</t>
  </si>
  <si>
    <t>[SIRKULER] : KB Penyelesaian SOP PLN Kanaan</t>
  </si>
  <si>
    <t>Submit ke KOMITE SPK  Workshop Review Toll Fee PERTAGAS bersama BPH Migas</t>
  </si>
  <si>
    <t>[REMINDER] : Amendemen PPG PERTAGAS - PGN di NSA, SSA, dan WJA</t>
  </si>
  <si>
    <t xml:space="preserve">[SIRKULER] : OTA PERTAGAS &amp; BSP 2024 </t>
  </si>
  <si>
    <t>Distribusi surat No.041/PG4220/2024-S0 tanggal 29 Desember 2024 perihal Pengaliran Minyak PT EMP Energi Gandewa</t>
  </si>
  <si>
    <t xml:space="preserve">[SIRKULER] : Amendemen-IV KB PPG antara PERTAGAS dan PIM </t>
  </si>
  <si>
    <t>Fungsi OSSA</t>
  </si>
  <si>
    <t>Submit ke KOMITE SPK Reimbursement Stakeholder Engagement PERTAGAS 2024</t>
  </si>
  <si>
    <t xml:space="preserve">Koordinasi dengan Fungsi Treasury terkait Perpanjangan SBLC  PT Sarana Pembangunan Palembang Jaya  </t>
  </si>
  <si>
    <t>[SIRKULER] : Amendemen PPG PERTAGAS &amp; PLN MK-MT</t>
  </si>
  <si>
    <t xml:space="preserve"> [SIRKULER] : Amendemen-IV KB PPG antara PERTAGAS dan PIM </t>
  </si>
  <si>
    <t>Lanjut sirkuler ke OWJA</t>
  </si>
  <si>
    <t>Lanjut sirkuler ke PGN</t>
  </si>
  <si>
    <t>Submit ke KOMITE KB Stakeholder Engagement Fungsi Commercial Capacity Tahap IV tahun 2024</t>
  </si>
  <si>
    <t>Submit ke KOMITE SPK Reimbursement Stakeholder Engagement PERTAGAS dengan BPH Migas &amp; PEP</t>
  </si>
  <si>
    <t>Distribusi Memo No.042/PG4220/2024-S0 tanggal 31 Desember 2024 perihal Penyaluran Minyak Bumi EMP di Rokan Area</t>
  </si>
  <si>
    <t>Manager ONSA</t>
  </si>
  <si>
    <t>Distribusi Memo No.044/PG4220/2024-S0 tanggal 31 Desember 2024 perihal Penyaluran Gas PT MPE di Sumatera Selatan</t>
  </si>
  <si>
    <t>Manager OSSA</t>
  </si>
  <si>
    <t>[SIRKULER] : OTA PERTAGAS &amp; BSP 2024</t>
  </si>
  <si>
    <t>Distribusi Memo No.045/PG4220/2024-S0 tanggal 31 Desember 2024 perihal Penyaluran Gas PT Pertamina (Persero) untuk Kebutuhan SPBG di SSA, WJA dan EJA</t>
  </si>
  <si>
    <t>Distribusi Memo No.240/PG4220/2024-S0 tanggal 31 Desember 2024 Outstanding Perjanjian di Operation West Java Area</t>
  </si>
  <si>
    <t>Amendemen-IV PPG PERTAGAS dan PIM</t>
  </si>
  <si>
    <t>TAHUN 2025</t>
  </si>
  <si>
    <t>OTA PERTAGAS dan BSP tahun 2024</t>
  </si>
  <si>
    <t>OEKA</t>
  </si>
  <si>
    <t>BBE</t>
  </si>
  <si>
    <t>Amendemen-III PPG PERTAGAS dan PGN di ONSA (ARBEL)</t>
  </si>
  <si>
    <t>Amendemen-II PPG PERTAGAS dan PGN</t>
  </si>
  <si>
    <t>Amendemen-X PPG PERTAGAS dan PGN</t>
  </si>
  <si>
    <t>PPG antara PERTAGAS dan BBE</t>
  </si>
  <si>
    <r>
      <t xml:space="preserve">- 09/01/2025 : Mulai Proses Sirkuler
- 20/01/2025 : Ditandatangani Dirut PERTAGAS
- 21/01/2025 : Proses sirkuler di BBE
- 30/01/2025 : BBE Signed
</t>
    </r>
    <r>
      <rPr>
        <b/>
        <sz val="11"/>
        <color rgb="FFFF0000"/>
        <rFont val="Calibri"/>
        <family val="2"/>
        <scheme val="minor"/>
      </rPr>
      <t>- DONE</t>
    </r>
  </si>
  <si>
    <t>OKA</t>
  </si>
  <si>
    <t>PLN SSA (Keramasan)</t>
  </si>
  <si>
    <t>PLN WJA (MK-MT)</t>
  </si>
  <si>
    <t>OTA PERTAGAS dan BSP tahun 2025</t>
  </si>
  <si>
    <r>
      <t xml:space="preserve">- 09/09/2024 : Mulai Sirkuler (carry over)
- 05/02/2025 : Ditandatangani Dirut PERTAGAS
- 11/02/2025 : PLN Signed paralel proses pengiriman dok hard copy ke PERTAGAS
</t>
    </r>
    <r>
      <rPr>
        <b/>
        <sz val="11"/>
        <color rgb="FFFF0000"/>
        <rFont val="Calibri"/>
        <family val="2"/>
        <scheme val="minor"/>
      </rPr>
      <t>- DONE</t>
    </r>
  </si>
  <si>
    <t>- 11/11/2024 : Mulai Sirkuler (carry over)
- 10/01/2025 : Ditandatangani Dirut PERTAGAS, saat ini sirkuler hard copy di PIM
- 03/02/2025 : PIM menginfokan ada kesalahan proses review untuk penulisan nama Dirut jadi proses print ulang sirkuler hal 1 &amp; 4</t>
  </si>
  <si>
    <t>- 24/12/2024 : Mulai proses sirkuler (carry over)
- 31/12/2024 : Proses sirkuler di PGN
- 09/01/2025 : revisi Hal 3 (Pasal 3 - LAMPIRAN)</t>
  </si>
  <si>
    <t>- 24/12/2024 : Mulai proses sirkuler (carry over)
- 31/12/2024 : Proses sirkuler di PGN</t>
  </si>
  <si>
    <t>- 24/12/2024 : Mulai proses sirkuler (carry over)
- 31/12/2024 : Proses sirkuler di PGN
- 09/01/2025 : revisi Hal 4 (Pasal 4 - LAMPIRAN)</t>
  </si>
  <si>
    <t>OTA PERTAGAS dan EMP TONGA</t>
  </si>
  <si>
    <r>
      <t xml:space="preserve">- 03/01/2025 : Mulai proses sirkuler
- 21/01/2025 : FAR menyampaikan masukan terkait alamat tujuan pengiriman invoice ke SHIPPER (Pasal 11.15)
</t>
    </r>
    <r>
      <rPr>
        <sz val="11"/>
        <color rgb="FFFF0000"/>
        <rFont val="Calibri"/>
        <family val="2"/>
        <scheme val="minor"/>
      </rPr>
      <t>- 22/01/2025 : PIC kirim email ke EMP Tonga dan saat ini masih menunggu konfirmasi dari SHIPPER</t>
    </r>
  </si>
  <si>
    <t>I.</t>
  </si>
  <si>
    <t>REKAPITULASI AMENDEMEN PPG/OTA TAHUN 2025</t>
  </si>
  <si>
    <t>STATUS
06/01/2024</t>
  </si>
  <si>
    <t>PIC 1</t>
  </si>
  <si>
    <t>PIC 2</t>
  </si>
  <si>
    <t>TARGET KPI</t>
  </si>
  <si>
    <t>VAD</t>
  </si>
  <si>
    <t>NS</t>
  </si>
  <si>
    <t>TW I</t>
  </si>
  <si>
    <t>TW II</t>
  </si>
  <si>
    <t>TW III</t>
  </si>
  <si>
    <t>TW IV</t>
  </si>
  <si>
    <t>Amendemen-IV KB GTA</t>
  </si>
  <si>
    <t>Proses Sirkuler di PIM</t>
  </si>
  <si>
    <t>Amendemen-V PPG</t>
  </si>
  <si>
    <t>- Menghapus kesepakatan PSU dalam SL 
- Arrange meeting selanjutnya</t>
  </si>
  <si>
    <t>Amendemen-II PPG</t>
  </si>
  <si>
    <t>Proses sirkuler di PGN (Fungsi Legal PTG sudah paraf)</t>
  </si>
  <si>
    <t>PT Sarana Pembangunan Palembang Jaya</t>
  </si>
  <si>
    <t xml:space="preserve">Amendemen II PPG </t>
  </si>
  <si>
    <t>- Stop Pengaliran per 1 Juli 2023, belum ada BA terminasi PPG 
- Diperlukan Izin Prinsip dari Dirut atas terminasi PPG</t>
  </si>
  <si>
    <t>- Surat pemberitahuan berakhir jangka waktu PERJANJIAN
- Menunggu perpanjangan alokasi dari KESDM</t>
  </si>
  <si>
    <t>- Proses perpanjangan alokasi tahun 2025 (draft PPG sedang proses review di PERTAMINA)
- Kirim surat ke PERTAMINA terkait status alokasi dan proses review draft Amendemen PPG paralel penetapan alokasi dari DJMIGAS</t>
  </si>
  <si>
    <t>PT PLN (Persero) Keramasan</t>
  </si>
  <si>
    <t>Amendemen-III PPG</t>
  </si>
  <si>
    <t>- PERJANJIAN sudah dittd PLN, proses sirkuler surat pemberitahuan menghilangkan dokumen hard copy
- Buat Nota Pengantar untuk proses sirkuler ulang di PERTAGAS</t>
  </si>
  <si>
    <t>PT SEG (Perseroda)</t>
  </si>
  <si>
    <t>Telah terbit perpanjangan alokasi</t>
  </si>
  <si>
    <t>PT PGN Tbk (Jargas)</t>
  </si>
  <si>
    <t>Perubahan titik terima dan penambahan Jargas Ogan Ilir</t>
  </si>
  <si>
    <t>Perubahan titik terima dan penghapusan Ogan Ilir</t>
  </si>
  <si>
    <t>Kirim undangan untuk pembahasan OTA</t>
  </si>
  <si>
    <t>OTA Baru</t>
  </si>
  <si>
    <t>SBWP Meruap</t>
  </si>
  <si>
    <t>Tately</t>
  </si>
  <si>
    <t>Montd'or</t>
  </si>
  <si>
    <t>SRMD</t>
  </si>
  <si>
    <t>Perubahan DRC</t>
  </si>
  <si>
    <t>JINDI</t>
  </si>
  <si>
    <t>BSP (2025)</t>
  </si>
  <si>
    <t>OTA baru</t>
  </si>
  <si>
    <t>Proses review di BSP</t>
  </si>
  <si>
    <t>BSP (2026)</t>
  </si>
  <si>
    <t>Proses draft PPG</t>
  </si>
  <si>
    <t>Proses Izin Prinsip TF USD 2/Bbl</t>
  </si>
  <si>
    <t>EMP Tonga</t>
  </si>
  <si>
    <t>Sirkuler di internal PERTAGAS</t>
  </si>
  <si>
    <t>Proses review di EMP Gandewa</t>
  </si>
  <si>
    <t>Pembahasan matrix perubahan amendemen</t>
  </si>
  <si>
    <t>Kirim surat pemberitahuan berakhir Jangka Waktu ke KPI</t>
  </si>
  <si>
    <t>PT Pertamina Patra Niaga</t>
  </si>
  <si>
    <t>Kirim surat pemberitahuan berakhir Jangka Waktu ke PPN</t>
  </si>
  <si>
    <t>PT PLN (Persero) MK-MT</t>
  </si>
  <si>
    <t>Proses sirkuler di PERTAGAS (OWJA)</t>
  </si>
  <si>
    <t>Amendemen-X PPG</t>
  </si>
  <si>
    <t>- Penambahan titik serah di KHT - Cilamaya (proses tender alokasi)</t>
  </si>
  <si>
    <t>PT PAE</t>
  </si>
  <si>
    <t>Penambahan titik serah meter DGAS</t>
  </si>
  <si>
    <t>PT BBG</t>
  </si>
  <si>
    <t>Penambahan Titik Serah</t>
  </si>
  <si>
    <t>PT BBE</t>
  </si>
  <si>
    <t>Done</t>
  </si>
  <si>
    <t>PPG Baru</t>
  </si>
  <si>
    <t>Permohonan Penurunan DRC</t>
  </si>
  <si>
    <t>PT PLN EPI</t>
  </si>
  <si>
    <t>Perubahan DRC untuk pemanfaatan MUT Muldes PLN Kanaan</t>
  </si>
  <si>
    <t>Penambahan Titik Serah di Gresem (JTB)</t>
  </si>
  <si>
    <t>PT Likuid Nusantara Gas</t>
  </si>
  <si>
    <t>Proses review draft PPG di internal PERTAGAS</t>
  </si>
  <si>
    <t>PT Lestari Nasional Gas</t>
  </si>
  <si>
    <t>Proses review draft PPG di LNG</t>
  </si>
  <si>
    <t>PT Mahadaya Prima Energy</t>
  </si>
  <si>
    <t>Proses review draft Key Terms PPG</t>
  </si>
  <si>
    <t>Menggantikan SHIPPER BME</t>
  </si>
  <si>
    <t xml:space="preserve">Proses Amendemen-II </t>
  </si>
  <si>
    <t>PT BME</t>
  </si>
  <si>
    <t>- Proses BA Terminasi PPG (Stop pengaliran sejak 1 Feb 2024)</t>
  </si>
  <si>
    <t>TABUNGAN</t>
  </si>
  <si>
    <t>BA Terminasi PPG (SP2J dan BME)</t>
  </si>
  <si>
    <t>GAS</t>
  </si>
  <si>
    <t>AMENDEMEN</t>
  </si>
  <si>
    <t>MINYAK</t>
  </si>
  <si>
    <t>TOTAL BARU</t>
  </si>
  <si>
    <t>II.</t>
  </si>
  <si>
    <t>PENGAJUAN ACCESS ARRANGEMENT (AA)</t>
  </si>
  <si>
    <t>Regulator : BPH Migas</t>
  </si>
  <si>
    <t>DESKRIPSI DOKUMEN</t>
  </si>
  <si>
    <t>TARGET PELAPORAN</t>
  </si>
  <si>
    <t>PENGAJUAN</t>
  </si>
  <si>
    <t>REALISASI PELAPORAN</t>
  </si>
  <si>
    <t>PENYESUAIAN AA WJA</t>
  </si>
  <si>
    <t>PENYESUAIAN AA KAL</t>
  </si>
  <si>
    <t>PENYESUAIAN AA EJA + GRESEM</t>
  </si>
  <si>
    <t>PENYESUAIAN AA GRISPUS</t>
  </si>
  <si>
    <t>PENYESUAIAN AA SSA</t>
  </si>
  <si>
    <t>PENGAJUAN TARIF PENGANGKUTAN GAS / MINYAK</t>
  </si>
  <si>
    <t>Regulator : BPH Migas &amp; Badan Usaha</t>
  </si>
  <si>
    <t>PIPA TEMPINO</t>
  </si>
  <si>
    <t>PIPA ROKAN - TEXCAL</t>
  </si>
  <si>
    <t>III.</t>
  </si>
  <si>
    <t>PENGAJUAN HAK KHUSUS</t>
  </si>
  <si>
    <t>TEGAL - CILACAP</t>
  </si>
  <si>
    <t>LH/VAD</t>
  </si>
  <si>
    <t>KP 72 - CIBITUNG (Tegalgede - Nagrak)</t>
  </si>
  <si>
    <t>WUNUT - EJGP (Porong - Gresik)</t>
  </si>
  <si>
    <t>BALONGAN - MUNDU (Looping)</t>
  </si>
  <si>
    <t>IV.</t>
  </si>
  <si>
    <t>PENGAJUAN IZIN USAHA PENGANGKUTAN (IUT/IUS)</t>
  </si>
  <si>
    <t>Regulator : Ditjen Migas</t>
  </si>
  <si>
    <t>IUT PIPA MINYAK ROKAN (SEG 1 - 5)</t>
  </si>
  <si>
    <t>IUT JUMPERLINE NAD</t>
  </si>
  <si>
    <t>RP/ANI</t>
  </si>
  <si>
    <t>IUS TEGAL - CILACAP</t>
  </si>
  <si>
    <t>V.</t>
  </si>
  <si>
    <t>PENGELOLAAN STK DI FUNGSI CC</t>
  </si>
  <si>
    <t>IDENTIFIKASI STK DI FUNGSI CC</t>
  </si>
  <si>
    <t>REVIEW STK EKSISTING DI FUNGSI CC</t>
  </si>
  <si>
    <t>PENYUSUNAN STK</t>
  </si>
  <si>
    <t>VI.</t>
  </si>
  <si>
    <t>PENYELESAIAN OUTSTANDING</t>
  </si>
  <si>
    <t>SOP PLN KANAAN 2021-2023</t>
  </si>
  <si>
    <t>SOP PGN DURDUM 2021-2023</t>
  </si>
  <si>
    <t>ABE/NS</t>
  </si>
  <si>
    <t>SOP PLN EJA 2023</t>
  </si>
  <si>
    <t>SOP SRMD</t>
  </si>
  <si>
    <t>PGN ONSA</t>
  </si>
  <si>
    <t>VII. PENYELESAIAN REKOMENDASI AUDIT</t>
  </si>
  <si>
    <t>REKOMENDASI AUDIT</t>
  </si>
  <si>
    <t>PERJANJIAN PENYELESAIAN PERMASALAHAN PIPA MK-MT DENGAN CMNP (End Date 31 Des 2025)</t>
  </si>
  <si>
    <t>KET</t>
  </si>
  <si>
    <t>Status</t>
  </si>
  <si>
    <t>Tgl Doc dikirim ke Fungsi</t>
  </si>
  <si>
    <t>Tgl Doc diterima CC (Signed)</t>
  </si>
  <si>
    <r>
      <t xml:space="preserve">- 09/09/2024 : Mulai Sirkuler (carry over), dihold karena mau bersamaan dgn Amd PPG MK-MT u/proses sirkuler ke Direksi
- 05/02/2025 : Ditandatangani Dirut PERTAGAS
- 11/02/2025 : PLN Signed paralel proses pengiriman dok hard copy ke PERTAGAS
</t>
    </r>
    <r>
      <rPr>
        <b/>
        <sz val="11"/>
        <color rgb="FFFF0000"/>
        <rFont val="Calibri"/>
        <family val="2"/>
        <scheme val="minor"/>
      </rPr>
      <t>- DONE</t>
    </r>
  </si>
  <si>
    <t xml:space="preserve">PPG antara PERTAGAS dan LNG </t>
  </si>
  <si>
    <t>EJA</t>
  </si>
  <si>
    <r>
      <t>- 22/01/2025 : Proses sirkuler
- 14/02/2025 :</t>
    </r>
    <r>
      <rPr>
        <sz val="11"/>
        <color rgb="FFFF0000"/>
        <rFont val="Calibri"/>
        <family val="2"/>
        <scheme val="minor"/>
      </rPr>
      <t xml:space="preserve"> sirkuler di ORA</t>
    </r>
    <r>
      <rPr>
        <sz val="11"/>
        <color theme="1"/>
        <rFont val="Calibri"/>
        <family val="2"/>
        <scheme val="minor"/>
      </rPr>
      <t xml:space="preserve">
</t>
    </r>
  </si>
  <si>
    <t>KB Penyelesaian Outstanding SOP PLN Kanaan 2023</t>
  </si>
  <si>
    <t>- 24/12/2024 : Mulai Proses Sirkuler (carry over)
- 05/02/2025 : Ditandatangani Dirut PERTAGAS
- 11/02/2025 : PLN konfirmasi ada kesalahan perhitungan pada KB
- 07/02/2025 : kirim email ke PLN
- 21/02/2025 : kirim hal-2 (revisi) nilai SOP sesuai masukan dari PLN</t>
  </si>
  <si>
    <r>
      <t xml:space="preserve">- 27/12/2024 : Mulai Sirkuler
- 17/01/2025 : Ditandatangani Dirut PERTAGAS
- Proses sirkuler hard copy di BSP
- 20/02/2025 : BSP signed parallel proses pengiriman dok hard copy
</t>
    </r>
    <r>
      <rPr>
        <b/>
        <sz val="11"/>
        <color rgb="FFFF0000"/>
        <rFont val="Calibri"/>
        <family val="2"/>
        <scheme val="minor"/>
      </rPr>
      <t>- DONE</t>
    </r>
  </si>
  <si>
    <t>- 20/02/2025 : Mulai proses sirkuler, Man Legal sedang MWT baru ada tgl 24/02/2025 
- 25/02/2025 : selesai sirkuler dr Fungsi Legal paralle proses review Nota penandatanganan PPG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</si>
</sst>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4" formatCode="_-&quot;Rp&quot;* #,##0.00_-;\-&quot;Rp&quot;* #,##0.00_-;_-&quot;Rp&quot;* &quot;-&quot;??_-;_-@_-"/>
    <numFmt numFmtId="164" formatCode="[$-13809]dddd\,\ dd\ mmmm\ yyyy;@"/>
    <numFmt numFmtId="165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Wingdings"/>
      <charset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Wingdings"/>
      <charset val="2"/>
    </font>
    <font>
      <b/>
      <u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Aptos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1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BFE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vertical="top"/>
    </xf>
    <xf numFmtId="0" fontId="0" fillId="0" borderId="1" xfId="1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left" vertical="top" wrapText="1"/>
    </xf>
    <xf numFmtId="0" fontId="3" fillId="0" borderId="5" xfId="0" applyFont="1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2" fillId="0" borderId="0" xfId="0" applyFont="1" applyAlignment="1">
      <alignment horizontal="left"/>
    </xf>
    <xf numFmtId="0" fontId="0" fillId="0" borderId="1" xfId="0" quotePrefix="1" applyBorder="1" applyAlignment="1">
      <alignment horizontal="center" vertical="top"/>
    </xf>
    <xf numFmtId="0" fontId="0" fillId="0" borderId="5" xfId="0" quotePrefix="1" applyBorder="1" applyAlignment="1">
      <alignment horizontal="center" vertical="top"/>
    </xf>
    <xf numFmtId="0" fontId="7" fillId="6" borderId="1" xfId="0" applyFont="1" applyFill="1" applyBorder="1" applyAlignment="1">
      <alignment horizontal="center" vertical="top"/>
    </xf>
    <xf numFmtId="15" fontId="6" fillId="6" borderId="1" xfId="0" applyNumberFormat="1" applyFont="1" applyFill="1" applyBorder="1" applyAlignment="1">
      <alignment horizontal="center" vertical="top"/>
    </xf>
    <xf numFmtId="15" fontId="6" fillId="7" borderId="1" xfId="0" applyNumberFormat="1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5" xfId="0" applyBorder="1" applyAlignment="1">
      <alignment horizontal="center" vertical="top" wrapText="1"/>
    </xf>
    <xf numFmtId="164" fontId="0" fillId="0" borderId="7" xfId="0" applyNumberFormat="1" applyBorder="1" applyAlignment="1">
      <alignment vertical="top"/>
    </xf>
    <xf numFmtId="164" fontId="0" fillId="0" borderId="0" xfId="0" applyNumberFormat="1" applyAlignment="1">
      <alignment vertical="top"/>
    </xf>
    <xf numFmtId="0" fontId="0" fillId="0" borderId="4" xfId="0" applyBorder="1"/>
    <xf numFmtId="0" fontId="0" fillId="0" borderId="7" xfId="0" applyBorder="1" applyAlignment="1">
      <alignment horizontal="center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15" fontId="6" fillId="7" borderId="4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10" xfId="0" applyNumberFormat="1" applyBorder="1" applyAlignment="1">
      <alignment vertical="top"/>
    </xf>
    <xf numFmtId="14" fontId="0" fillId="0" borderId="5" xfId="0" applyNumberFormat="1" applyBorder="1" applyAlignment="1">
      <alignment horizontal="left" vertical="top" wrapText="1"/>
    </xf>
    <xf numFmtId="0" fontId="0" fillId="0" borderId="4" xfId="0" quotePrefix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1" applyNumberFormat="1" applyFont="1" applyBorder="1" applyAlignment="1">
      <alignment horizontal="center" vertical="top"/>
    </xf>
    <xf numFmtId="0" fontId="0" fillId="0" borderId="4" xfId="0" quotePrefix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/>
    </xf>
    <xf numFmtId="0" fontId="0" fillId="0" borderId="4" xfId="0" applyBorder="1" applyAlignment="1">
      <alignment horizontal="left" vertical="top"/>
    </xf>
    <xf numFmtId="0" fontId="3" fillId="7" borderId="1" xfId="0" applyFont="1" applyFill="1" applyBorder="1" applyAlignment="1">
      <alignment horizontal="center" vertical="top"/>
    </xf>
    <xf numFmtId="0" fontId="7" fillId="7" borderId="1" xfId="0" applyFont="1" applyFill="1" applyBorder="1" applyAlignment="1">
      <alignment horizontal="center" vertical="top"/>
    </xf>
    <xf numFmtId="0" fontId="0" fillId="7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 wrapText="1"/>
    </xf>
    <xf numFmtId="0" fontId="0" fillId="7" borderId="4" xfId="0" applyFill="1" applyBorder="1" applyAlignment="1">
      <alignment horizontal="center" vertical="top" wrapText="1"/>
    </xf>
    <xf numFmtId="0" fontId="0" fillId="7" borderId="4" xfId="0" applyFill="1" applyBorder="1" applyAlignment="1">
      <alignment horizontal="left" vertical="top"/>
    </xf>
    <xf numFmtId="0" fontId="3" fillId="7" borderId="4" xfId="0" applyFont="1" applyFill="1" applyBorder="1" applyAlignment="1">
      <alignment horizontal="center" vertical="top"/>
    </xf>
    <xf numFmtId="15" fontId="6" fillId="7" borderId="5" xfId="0" applyNumberFormat="1" applyFont="1" applyFill="1" applyBorder="1" applyAlignment="1">
      <alignment horizontal="center" vertical="top"/>
    </xf>
    <xf numFmtId="0" fontId="0" fillId="0" borderId="1" xfId="0" quotePrefix="1" applyBorder="1" applyAlignment="1">
      <alignment horizontal="left" vertical="top"/>
    </xf>
    <xf numFmtId="164" fontId="0" fillId="0" borderId="9" xfId="0" applyNumberFormat="1" applyBorder="1" applyAlignment="1">
      <alignment horizontal="left" vertical="top"/>
    </xf>
    <xf numFmtId="0" fontId="0" fillId="0" borderId="1" xfId="0" applyBorder="1" applyAlignment="1">
      <alignment vertical="top" wrapText="1"/>
    </xf>
    <xf numFmtId="164" fontId="0" fillId="0" borderId="10" xfId="0" applyNumberFormat="1" applyBorder="1" applyAlignment="1">
      <alignment horizontal="left" vertical="top"/>
    </xf>
    <xf numFmtId="0" fontId="0" fillId="0" borderId="7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vertical="top" wrapText="1"/>
    </xf>
    <xf numFmtId="164" fontId="0" fillId="0" borderId="7" xfId="0" applyNumberFormat="1" applyBorder="1" applyAlignment="1">
      <alignment horizontal="left" vertical="top"/>
    </xf>
    <xf numFmtId="0" fontId="0" fillId="7" borderId="5" xfId="0" applyFill="1" applyBorder="1" applyAlignment="1">
      <alignment horizontal="center" vertical="top"/>
    </xf>
    <xf numFmtId="164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 wrapText="1"/>
    </xf>
    <xf numFmtId="9" fontId="0" fillId="0" borderId="1" xfId="3" applyFont="1" applyBorder="1"/>
    <xf numFmtId="9" fontId="0" fillId="0" borderId="0" xfId="3" applyFont="1" applyBorder="1"/>
    <xf numFmtId="9" fontId="0" fillId="0" borderId="0" xfId="3" applyFont="1"/>
    <xf numFmtId="0" fontId="4" fillId="0" borderId="0" xfId="0" applyFont="1"/>
    <xf numFmtId="9" fontId="4" fillId="0" borderId="0" xfId="3" applyFont="1"/>
    <xf numFmtId="41" fontId="0" fillId="0" borderId="0" xfId="2" applyFont="1"/>
    <xf numFmtId="15" fontId="0" fillId="0" borderId="0" xfId="0" quotePrefix="1" applyNumberFormat="1" applyAlignment="1">
      <alignment horizontal="center" vertical="top"/>
    </xf>
    <xf numFmtId="15" fontId="0" fillId="0" borderId="0" xfId="0" quotePrefix="1" applyNumberFormat="1" applyAlignment="1">
      <alignment horizontal="left" vertical="top"/>
    </xf>
    <xf numFmtId="0" fontId="0" fillId="0" borderId="4" xfId="0" quotePrefix="1" applyBorder="1" applyAlignment="1">
      <alignment horizontal="left" vertical="top"/>
    </xf>
    <xf numFmtId="0" fontId="0" fillId="0" borderId="4" xfId="0" quotePrefix="1" applyBorder="1" applyAlignment="1">
      <alignment horizontal="left" vertical="top" wrapText="1"/>
    </xf>
    <xf numFmtId="164" fontId="0" fillId="0" borderId="7" xfId="0" applyNumberFormat="1" applyBorder="1" applyAlignment="1">
      <alignment horizontal="center" vertical="top" wrapText="1"/>
    </xf>
    <xf numFmtId="164" fontId="0" fillId="0" borderId="7" xfId="0" applyNumberFormat="1" applyBorder="1" applyAlignment="1">
      <alignment vertical="top" wrapText="1"/>
    </xf>
    <xf numFmtId="164" fontId="0" fillId="0" borderId="5" xfId="0" applyNumberFormat="1" applyBorder="1" applyAlignment="1">
      <alignment vertical="top" wrapText="1"/>
    </xf>
    <xf numFmtId="164" fontId="0" fillId="0" borderId="7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left" vertical="top" wrapText="1"/>
    </xf>
    <xf numFmtId="0" fontId="7" fillId="6" borderId="2" xfId="0" applyFont="1" applyFill="1" applyBorder="1" applyAlignment="1">
      <alignment horizontal="center" vertical="top"/>
    </xf>
    <xf numFmtId="0" fontId="7" fillId="7" borderId="5" xfId="0" applyFont="1" applyFill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0" fillId="0" borderId="0" xfId="0" quotePrefix="1"/>
    <xf numFmtId="0" fontId="0" fillId="0" borderId="5" xfId="1" applyNumberFormat="1" applyFont="1" applyBorder="1" applyAlignment="1">
      <alignment horizontal="center" vertical="top"/>
    </xf>
    <xf numFmtId="0" fontId="0" fillId="0" borderId="5" xfId="0" quotePrefix="1" applyBorder="1" applyAlignment="1">
      <alignment horizontal="left" vertical="top" wrapText="1"/>
    </xf>
    <xf numFmtId="0" fontId="0" fillId="0" borderId="7" xfId="0" quotePrefix="1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15" fontId="6" fillId="0" borderId="2" xfId="0" applyNumberFormat="1" applyFont="1" applyBorder="1" applyAlignment="1">
      <alignment horizontal="center" vertical="top"/>
    </xf>
    <xf numFmtId="9" fontId="0" fillId="0" borderId="0" xfId="3" applyFont="1" applyBorder="1" applyAlignment="1">
      <alignment vertical="top"/>
    </xf>
    <xf numFmtId="9" fontId="0" fillId="0" borderId="1" xfId="3" applyFont="1" applyBorder="1" applyAlignment="1">
      <alignment vertical="top"/>
    </xf>
    <xf numFmtId="0" fontId="0" fillId="0" borderId="4" xfId="1" applyNumberFormat="1" applyFont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1" xfId="1" applyNumberFormat="1" applyFont="1" applyBorder="1" applyAlignment="1">
      <alignment horizontal="center" vertical="top" wrapText="1"/>
    </xf>
    <xf numFmtId="0" fontId="7" fillId="7" borderId="4" xfId="0" applyFont="1" applyFill="1" applyBorder="1" applyAlignment="1">
      <alignment horizontal="center" vertical="top"/>
    </xf>
    <xf numFmtId="0" fontId="0" fillId="0" borderId="0" xfId="0" quotePrefix="1" applyAlignment="1">
      <alignment horizontal="left" vertical="top" wrapText="1"/>
    </xf>
    <xf numFmtId="15" fontId="0" fillId="7" borderId="1" xfId="0" applyNumberFormat="1" applyFill="1" applyBorder="1" applyAlignment="1">
      <alignment horizontal="center" vertical="top"/>
    </xf>
    <xf numFmtId="15" fontId="0" fillId="7" borderId="0" xfId="0" applyNumberFormat="1" applyFill="1" applyAlignment="1">
      <alignment horizontal="center" vertical="top"/>
    </xf>
    <xf numFmtId="0" fontId="0" fillId="7" borderId="0" xfId="0" applyFill="1"/>
    <xf numFmtId="164" fontId="0" fillId="0" borderId="4" xfId="0" applyNumberFormat="1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164" fontId="0" fillId="0" borderId="10" xfId="0" applyNumberFormat="1" applyBorder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5" fontId="6" fillId="6" borderId="5" xfId="0" applyNumberFormat="1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0" fillId="7" borderId="4" xfId="0" applyFill="1" applyBorder="1" applyAlignment="1">
      <alignment horizontal="center" vertical="top"/>
    </xf>
    <xf numFmtId="165" fontId="0" fillId="0" borderId="5" xfId="0" applyNumberFormat="1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165" fontId="0" fillId="0" borderId="1" xfId="0" quotePrefix="1" applyNumberFormat="1" applyBorder="1" applyAlignment="1">
      <alignment horizontal="left" vertical="top" wrapText="1"/>
    </xf>
    <xf numFmtId="165" fontId="0" fillId="0" borderId="1" xfId="0" quotePrefix="1" applyNumberFormat="1" applyBorder="1" applyAlignment="1">
      <alignment horizontal="center" vertical="top" wrapText="1"/>
    </xf>
    <xf numFmtId="165" fontId="0" fillId="7" borderId="1" xfId="0" applyNumberForma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0" fontId="0" fillId="7" borderId="1" xfId="0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0" fillId="0" borderId="0" xfId="0" quotePrefix="1" applyAlignment="1">
      <alignment horizontal="left" vertical="top"/>
    </xf>
    <xf numFmtId="0" fontId="0" fillId="0" borderId="0" xfId="0" quotePrefix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0" fontId="0" fillId="0" borderId="5" xfId="0" quotePrefix="1" applyBorder="1" applyAlignment="1">
      <alignment horizontal="left" vertical="top"/>
    </xf>
    <xf numFmtId="0" fontId="0" fillId="0" borderId="1" xfId="0" quotePrefix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164" fontId="0" fillId="0" borderId="4" xfId="0" applyNumberFormat="1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164" fontId="9" fillId="0" borderId="10" xfId="0" applyNumberFormat="1" applyFont="1" applyBorder="1" applyAlignment="1">
      <alignment horizontal="center" vertical="top"/>
    </xf>
    <xf numFmtId="164" fontId="9" fillId="0" borderId="7" xfId="0" applyNumberFormat="1" applyFont="1" applyBorder="1" applyAlignment="1">
      <alignment horizontal="center" vertical="top"/>
    </xf>
    <xf numFmtId="15" fontId="11" fillId="0" borderId="0" xfId="0" quotePrefix="1" applyNumberFormat="1" applyFont="1" applyAlignment="1">
      <alignment horizontal="left" vertical="top" wrapText="1"/>
    </xf>
    <xf numFmtId="0" fontId="6" fillId="0" borderId="0" xfId="0" applyFont="1"/>
    <xf numFmtId="164" fontId="0" fillId="0" borderId="11" xfId="0" applyNumberFormat="1" applyBorder="1" applyAlignment="1">
      <alignment vertical="top"/>
    </xf>
    <xf numFmtId="0" fontId="3" fillId="7" borderId="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center" vertical="top"/>
    </xf>
    <xf numFmtId="15" fontId="6" fillId="7" borderId="6" xfId="0" applyNumberFormat="1" applyFont="1" applyFill="1" applyBorder="1" applyAlignment="1">
      <alignment horizontal="center" vertical="top"/>
    </xf>
    <xf numFmtId="0" fontId="0" fillId="0" borderId="4" xfId="1" applyNumberFormat="1" applyFont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164" fontId="0" fillId="0" borderId="4" xfId="0" applyNumberFormat="1" applyBorder="1" applyAlignment="1">
      <alignment horizontal="left" vertical="top" wrapText="1"/>
    </xf>
    <xf numFmtId="15" fontId="0" fillId="0" borderId="2" xfId="0" applyNumberFormat="1" applyBorder="1" applyAlignment="1">
      <alignment horizontal="center" vertical="top"/>
    </xf>
    <xf numFmtId="14" fontId="0" fillId="0" borderId="4" xfId="0" applyNumberFormat="1" applyBorder="1" applyAlignment="1">
      <alignment horizontal="left" vertical="top" wrapText="1"/>
    </xf>
    <xf numFmtId="165" fontId="6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0" fillId="0" borderId="1" xfId="0" quotePrefix="1" applyBorder="1" applyAlignment="1">
      <alignment vertical="top" wrapText="1"/>
    </xf>
    <xf numFmtId="165" fontId="0" fillId="0" borderId="0" xfId="0" quotePrefix="1" applyNumberFormat="1" applyAlignment="1">
      <alignment horizontal="center" vertical="top"/>
    </xf>
    <xf numFmtId="0" fontId="0" fillId="0" borderId="5" xfId="1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164" fontId="0" fillId="3" borderId="4" xfId="0" applyNumberFormat="1" applyFill="1" applyBorder="1" applyAlignment="1">
      <alignment horizontal="center" vertical="top"/>
    </xf>
    <xf numFmtId="0" fontId="0" fillId="3" borderId="4" xfId="0" quotePrefix="1" applyFill="1" applyBorder="1" applyAlignment="1">
      <alignment horizontal="center" vertical="top"/>
    </xf>
    <xf numFmtId="0" fontId="0" fillId="3" borderId="4" xfId="1" applyNumberFormat="1" applyFont="1" applyFill="1" applyBorder="1" applyAlignment="1">
      <alignment horizontal="center" vertical="top"/>
    </xf>
    <xf numFmtId="0" fontId="0" fillId="3" borderId="4" xfId="1" applyNumberFormat="1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left" vertical="top" wrapText="1"/>
    </xf>
    <xf numFmtId="15" fontId="0" fillId="0" borderId="0" xfId="0" applyNumberFormat="1" applyAlignment="1">
      <alignment horizontal="left" vertical="top"/>
    </xf>
    <xf numFmtId="0" fontId="0" fillId="0" borderId="0" xfId="0" applyAlignment="1">
      <alignment vertical="top" wrapText="1"/>
    </xf>
    <xf numFmtId="0" fontId="0" fillId="7" borderId="4" xfId="0" quotePrefix="1" applyFill="1" applyBorder="1" applyAlignment="1">
      <alignment horizontal="left" vertical="top" wrapText="1"/>
    </xf>
    <xf numFmtId="0" fontId="0" fillId="7" borderId="5" xfId="0" quotePrefix="1" applyFill="1" applyBorder="1" applyAlignment="1">
      <alignment horizontal="left" vertical="top" wrapText="1"/>
    </xf>
    <xf numFmtId="164" fontId="0" fillId="7" borderId="7" xfId="0" applyNumberFormat="1" applyFill="1" applyBorder="1" applyAlignment="1">
      <alignment horizontal="center" vertical="top" wrapText="1"/>
    </xf>
    <xf numFmtId="0" fontId="0" fillId="7" borderId="1" xfId="0" quotePrefix="1" applyFill="1" applyBorder="1" applyAlignment="1">
      <alignment horizontal="center" vertical="top"/>
    </xf>
    <xf numFmtId="0" fontId="0" fillId="7" borderId="1" xfId="1" applyNumberFormat="1" applyFont="1" applyFill="1" applyBorder="1" applyAlignment="1">
      <alignment horizontal="center" vertical="top"/>
    </xf>
    <xf numFmtId="0" fontId="0" fillId="7" borderId="4" xfId="0" quotePrefix="1" applyFill="1" applyBorder="1" applyAlignment="1">
      <alignment horizontal="center" vertical="top"/>
    </xf>
    <xf numFmtId="0" fontId="0" fillId="7" borderId="4" xfId="1" applyNumberFormat="1" applyFont="1" applyFill="1" applyBorder="1" applyAlignment="1">
      <alignment horizontal="center" vertical="top"/>
    </xf>
    <xf numFmtId="164" fontId="0" fillId="7" borderId="7" xfId="0" applyNumberFormat="1" applyFill="1" applyBorder="1" applyAlignment="1">
      <alignment horizontal="center" vertical="top"/>
    </xf>
    <xf numFmtId="0" fontId="0" fillId="7" borderId="5" xfId="0" quotePrefix="1" applyFill="1" applyBorder="1" applyAlignment="1">
      <alignment horizontal="center" vertical="top"/>
    </xf>
    <xf numFmtId="0" fontId="0" fillId="7" borderId="5" xfId="0" applyFill="1" applyBorder="1" applyAlignment="1">
      <alignment horizontal="left" vertical="top" wrapText="1"/>
    </xf>
    <xf numFmtId="0" fontId="0" fillId="7" borderId="4" xfId="1" applyNumberFormat="1" applyFont="1" applyFill="1" applyBorder="1" applyAlignment="1">
      <alignment horizontal="center" vertical="top" wrapText="1"/>
    </xf>
    <xf numFmtId="0" fontId="0" fillId="7" borderId="1" xfId="0" quotePrefix="1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/>
    </xf>
    <xf numFmtId="0" fontId="0" fillId="7" borderId="1" xfId="0" applyFill="1" applyBorder="1" applyAlignment="1">
      <alignment vertical="top" wrapText="1"/>
    </xf>
    <xf numFmtId="164" fontId="0" fillId="7" borderId="10" xfId="0" applyNumberFormat="1" applyFill="1" applyBorder="1" applyAlignment="1">
      <alignment horizontal="center" vertical="top"/>
    </xf>
    <xf numFmtId="164" fontId="0" fillId="7" borderId="11" xfId="0" applyNumberFormat="1" applyFill="1" applyBorder="1" applyAlignment="1">
      <alignment horizontal="center" vertical="top"/>
    </xf>
    <xf numFmtId="0" fontId="0" fillId="7" borderId="5" xfId="0" applyFill="1" applyBorder="1" applyAlignment="1">
      <alignment horizontal="center" vertical="top" wrapText="1"/>
    </xf>
    <xf numFmtId="14" fontId="0" fillId="7" borderId="5" xfId="0" applyNumberFormat="1" applyFill="1" applyBorder="1" applyAlignment="1">
      <alignment horizontal="left" vertical="top" wrapText="1"/>
    </xf>
    <xf numFmtId="0" fontId="0" fillId="7" borderId="8" xfId="0" applyFill="1" applyBorder="1" applyAlignment="1">
      <alignment horizontal="center" vertical="top"/>
    </xf>
    <xf numFmtId="0" fontId="0" fillId="7" borderId="11" xfId="0" applyFill="1" applyBorder="1" applyAlignment="1">
      <alignment horizontal="left" vertical="top"/>
    </xf>
    <xf numFmtId="0" fontId="6" fillId="7" borderId="1" xfId="0" quotePrefix="1" applyFont="1" applyFill="1" applyBorder="1" applyAlignment="1">
      <alignment horizontal="left" vertical="top"/>
    </xf>
    <xf numFmtId="0" fontId="9" fillId="7" borderId="1" xfId="0" quotePrefix="1" applyFont="1" applyFill="1" applyBorder="1" applyAlignment="1">
      <alignment horizontal="center" vertical="top"/>
    </xf>
    <xf numFmtId="0" fontId="9" fillId="7" borderId="1" xfId="0" quotePrefix="1" applyFont="1" applyFill="1" applyBorder="1" applyAlignment="1">
      <alignment horizontal="left" vertical="top" wrapText="1"/>
    </xf>
    <xf numFmtId="0" fontId="6" fillId="7" borderId="1" xfId="0" quotePrefix="1" applyFont="1" applyFill="1" applyBorder="1" applyAlignment="1">
      <alignment vertical="top"/>
    </xf>
    <xf numFmtId="0" fontId="9" fillId="7" borderId="1" xfId="0" quotePrefix="1" applyFont="1" applyFill="1" applyBorder="1" applyAlignment="1">
      <alignment horizontal="center" vertical="top" wrapText="1"/>
    </xf>
    <xf numFmtId="0" fontId="9" fillId="7" borderId="1" xfId="0" quotePrefix="1" applyFont="1" applyFill="1" applyBorder="1" applyAlignment="1">
      <alignment vertical="top" wrapText="1"/>
    </xf>
    <xf numFmtId="0" fontId="0" fillId="7" borderId="7" xfId="0" applyFill="1" applyBorder="1" applyAlignment="1">
      <alignment horizontal="left" vertical="top"/>
    </xf>
    <xf numFmtId="0" fontId="13" fillId="0" borderId="1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164" fontId="0" fillId="7" borderId="1" xfId="0" applyNumberFormat="1" applyFill="1" applyBorder="1" applyAlignment="1">
      <alignment horizontal="center" vertical="top" wrapText="1"/>
    </xf>
    <xf numFmtId="164" fontId="6" fillId="7" borderId="1" xfId="0" applyNumberFormat="1" applyFont="1" applyFill="1" applyBorder="1" applyAlignment="1">
      <alignment horizontal="center" vertical="top"/>
    </xf>
    <xf numFmtId="0" fontId="6" fillId="7" borderId="5" xfId="0" quotePrefix="1" applyFont="1" applyFill="1" applyBorder="1" applyAlignment="1">
      <alignment horizontal="center" vertical="top"/>
    </xf>
    <xf numFmtId="0" fontId="6" fillId="7" borderId="5" xfId="0" applyFont="1" applyFill="1" applyBorder="1" applyAlignment="1">
      <alignment horizontal="center" vertical="top"/>
    </xf>
    <xf numFmtId="0" fontId="6" fillId="7" borderId="5" xfId="0" applyFont="1" applyFill="1" applyBorder="1" applyAlignment="1">
      <alignment horizontal="left" vertical="top" wrapText="1"/>
    </xf>
    <xf numFmtId="164" fontId="6" fillId="7" borderId="7" xfId="0" applyNumberFormat="1" applyFont="1" applyFill="1" applyBorder="1" applyAlignment="1">
      <alignment horizontal="center" vertical="top"/>
    </xf>
    <xf numFmtId="164" fontId="9" fillId="7" borderId="9" xfId="0" applyNumberFormat="1" applyFont="1" applyFill="1" applyBorder="1" applyAlignment="1">
      <alignment horizontal="center" vertical="top"/>
    </xf>
    <xf numFmtId="0" fontId="0" fillId="0" borderId="4" xfId="0" applyBorder="1" applyAlignment="1">
      <alignment vertical="top"/>
    </xf>
    <xf numFmtId="164" fontId="6" fillId="0" borderId="1" xfId="0" applyNumberFormat="1" applyFont="1" applyBorder="1" applyAlignment="1">
      <alignment horizontal="center" vertical="top"/>
    </xf>
    <xf numFmtId="0" fontId="6" fillId="0" borderId="1" xfId="0" quotePrefix="1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0" fontId="6" fillId="0" borderId="5" xfId="0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4" xfId="0" applyFont="1" applyBorder="1" applyAlignment="1">
      <alignment horizontal="left" vertical="top" wrapText="1"/>
    </xf>
    <xf numFmtId="164" fontId="9" fillId="7" borderId="10" xfId="0" applyNumberFormat="1" applyFont="1" applyFill="1" applyBorder="1" applyAlignment="1">
      <alignment vertical="top"/>
    </xf>
    <xf numFmtId="164" fontId="9" fillId="7" borderId="11" xfId="0" applyNumberFormat="1" applyFont="1" applyFill="1" applyBorder="1" applyAlignment="1">
      <alignment vertical="top"/>
    </xf>
    <xf numFmtId="14" fontId="0" fillId="0" borderId="4" xfId="0" quotePrefix="1" applyNumberFormat="1" applyBorder="1" applyAlignment="1">
      <alignment horizontal="left" vertical="top" wrapText="1"/>
    </xf>
    <xf numFmtId="0" fontId="6" fillId="0" borderId="1" xfId="0" quotePrefix="1" applyFont="1" applyBorder="1" applyAlignment="1">
      <alignment horizontal="center" vertical="top"/>
    </xf>
    <xf numFmtId="0" fontId="6" fillId="0" borderId="1" xfId="1" applyNumberFormat="1" applyFont="1" applyBorder="1" applyAlignment="1">
      <alignment horizontal="center" vertical="top"/>
    </xf>
    <xf numFmtId="0" fontId="6" fillId="0" borderId="0" xfId="0" applyFont="1" applyAlignment="1">
      <alignment horizontal="left" vertical="top" wrapText="1"/>
    </xf>
    <xf numFmtId="0" fontId="6" fillId="0" borderId="4" xfId="0" quotePrefix="1" applyFont="1" applyBorder="1" applyAlignment="1">
      <alignment horizontal="center" vertical="top"/>
    </xf>
    <xf numFmtId="0" fontId="6" fillId="0" borderId="4" xfId="1" applyNumberFormat="1" applyFont="1" applyBorder="1" applyAlignment="1">
      <alignment horizontal="center" vertical="top"/>
    </xf>
    <xf numFmtId="164" fontId="9" fillId="0" borderId="1" xfId="0" applyNumberFormat="1" applyFont="1" applyBorder="1" applyAlignment="1">
      <alignment horizontal="center" vertical="top"/>
    </xf>
    <xf numFmtId="0" fontId="9" fillId="0" borderId="4" xfId="1" applyNumberFormat="1" applyFont="1" applyBorder="1" applyAlignment="1">
      <alignment horizontal="center" vertical="top"/>
    </xf>
    <xf numFmtId="0" fontId="9" fillId="0" borderId="4" xfId="0" applyFont="1" applyBorder="1" applyAlignment="1">
      <alignment horizontal="left" wrapText="1"/>
    </xf>
    <xf numFmtId="0" fontId="7" fillId="0" borderId="5" xfId="0" applyFont="1" applyBorder="1" applyAlignment="1">
      <alignment horizontal="center" vertical="top"/>
    </xf>
    <xf numFmtId="0" fontId="9" fillId="0" borderId="0" xfId="0" applyFont="1"/>
    <xf numFmtId="164" fontId="0" fillId="0" borderId="4" xfId="0" applyNumberFormat="1" applyBorder="1" applyAlignment="1">
      <alignment horizontal="center" vertical="top" wrapText="1"/>
    </xf>
    <xf numFmtId="164" fontId="0" fillId="0" borderId="8" xfId="0" applyNumberForma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8" xfId="0" quotePrefix="1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4" xfId="0" applyFont="1" applyBorder="1" applyAlignment="1">
      <alignment horizontal="left" vertical="top" wrapText="1"/>
    </xf>
    <xf numFmtId="164" fontId="9" fillId="0" borderId="7" xfId="0" applyNumberFormat="1" applyFont="1" applyBorder="1" applyAlignment="1">
      <alignment vertical="top"/>
    </xf>
    <xf numFmtId="0" fontId="0" fillId="0" borderId="0" xfId="0" quotePrefix="1" applyAlignment="1">
      <alignment horizontal="center" wrapText="1"/>
    </xf>
    <xf numFmtId="0" fontId="0" fillId="0" borderId="7" xfId="0" quotePrefix="1" applyBorder="1" applyAlignment="1">
      <alignment horizontal="left" vertical="top" wrapText="1"/>
    </xf>
    <xf numFmtId="14" fontId="0" fillId="0" borderId="4" xfId="0" applyNumberFormat="1" applyBorder="1" applyAlignment="1">
      <alignment horizontal="center"/>
    </xf>
    <xf numFmtId="15" fontId="0" fillId="0" borderId="4" xfId="0" applyNumberForma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4" fontId="0" fillId="0" borderId="4" xfId="0" applyNumberFormat="1" applyBorder="1" applyAlignment="1">
      <alignment vertical="top" wrapText="1"/>
    </xf>
    <xf numFmtId="0" fontId="2" fillId="9" borderId="6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1" xfId="0" quotePrefix="1" applyBorder="1" applyAlignment="1">
      <alignment horizontal="center" vertical="top" wrapText="1"/>
    </xf>
    <xf numFmtId="0" fontId="7" fillId="7" borderId="2" xfId="0" applyFont="1" applyFill="1" applyBorder="1" applyAlignment="1">
      <alignment horizontal="center" vertical="top"/>
    </xf>
    <xf numFmtId="164" fontId="0" fillId="0" borderId="1" xfId="0" applyNumberFormat="1" applyBorder="1" applyAlignment="1">
      <alignment horizontal="left" vertical="top" wrapText="1"/>
    </xf>
    <xf numFmtId="0" fontId="0" fillId="7" borderId="0" xfId="0" applyFill="1" applyAlignment="1">
      <alignment vertical="top"/>
    </xf>
    <xf numFmtId="15" fontId="0" fillId="0" borderId="1" xfId="0" quotePrefix="1" applyNumberFormat="1" applyBorder="1" applyAlignment="1">
      <alignment horizontal="center" vertical="top"/>
    </xf>
    <xf numFmtId="15" fontId="0" fillId="0" borderId="5" xfId="0" quotePrefix="1" applyNumberFormat="1" applyBorder="1" applyAlignment="1">
      <alignment horizontal="center" vertical="top"/>
    </xf>
    <xf numFmtId="0" fontId="0" fillId="7" borderId="0" xfId="0" quotePrefix="1" applyFill="1" applyAlignment="1">
      <alignment horizontal="left" vertical="top" wrapText="1"/>
    </xf>
    <xf numFmtId="0" fontId="0" fillId="7" borderId="0" xfId="0" quotePrefix="1" applyFill="1" applyAlignment="1">
      <alignment horizontal="center" vertical="top"/>
    </xf>
    <xf numFmtId="15" fontId="0" fillId="7" borderId="0" xfId="0" quotePrefix="1" applyNumberFormat="1" applyFill="1" applyAlignment="1">
      <alignment horizontal="center" vertical="top"/>
    </xf>
    <xf numFmtId="15" fontId="0" fillId="7" borderId="0" xfId="0" quotePrefix="1" applyNumberFormat="1" applyFill="1" applyAlignment="1">
      <alignment horizontal="left" vertical="top" wrapText="1"/>
    </xf>
    <xf numFmtId="165" fontId="9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7" borderId="7" xfId="0" applyFill="1" applyBorder="1" applyAlignment="1">
      <alignment horizontal="center" vertical="top"/>
    </xf>
    <xf numFmtId="165" fontId="0" fillId="3" borderId="1" xfId="0" applyNumberFormat="1" applyFill="1" applyBorder="1" applyAlignment="1">
      <alignment horizontal="center" vertical="top"/>
    </xf>
    <xf numFmtId="165" fontId="6" fillId="3" borderId="1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65" fontId="0" fillId="0" borderId="0" xfId="0" applyNumberFormat="1" applyAlignment="1">
      <alignment horizontal="center" vertical="top"/>
    </xf>
    <xf numFmtId="165" fontId="15" fillId="0" borderId="1" xfId="0" applyNumberFormat="1" applyFont="1" applyBorder="1" applyAlignment="1">
      <alignment horizontal="center" vertical="top"/>
    </xf>
    <xf numFmtId="0" fontId="0" fillId="7" borderId="4" xfId="0" applyFill="1" applyBorder="1" applyAlignment="1">
      <alignment vertical="top"/>
    </xf>
    <xf numFmtId="165" fontId="15" fillId="0" borderId="4" xfId="0" applyNumberFormat="1" applyFont="1" applyBorder="1" applyAlignment="1">
      <alignment horizontal="center" vertical="top"/>
    </xf>
    <xf numFmtId="0" fontId="0" fillId="0" borderId="1" xfId="0" quotePrefix="1" applyBorder="1" applyAlignment="1">
      <alignment vertical="top"/>
    </xf>
    <xf numFmtId="0" fontId="16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2" fillId="7" borderId="0" xfId="0" applyFont="1" applyFill="1"/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vertical="center"/>
    </xf>
    <xf numFmtId="9" fontId="0" fillId="7" borderId="1" xfId="0" applyNumberFormat="1" applyFill="1" applyBorder="1" applyAlignment="1">
      <alignment horizontal="center" vertical="center"/>
    </xf>
    <xf numFmtId="9" fontId="0" fillId="7" borderId="1" xfId="3" applyFont="1" applyFill="1" applyBorder="1" applyAlignment="1">
      <alignment horizontal="center" vertical="center"/>
    </xf>
    <xf numFmtId="9" fontId="0" fillId="7" borderId="1" xfId="0" applyNumberFormat="1" applyFill="1" applyBorder="1" applyAlignment="1">
      <alignment horizontal="center"/>
    </xf>
    <xf numFmtId="0" fontId="0" fillId="7" borderId="3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9" fontId="2" fillId="7" borderId="1" xfId="3" applyFont="1" applyFill="1" applyBorder="1" applyAlignment="1">
      <alignment horizontal="center" vertical="center"/>
    </xf>
    <xf numFmtId="15" fontId="0" fillId="0" borderId="1" xfId="0" quotePrefix="1" applyNumberFormat="1" applyBorder="1" applyAlignment="1">
      <alignment horizontal="center" vertical="top" wrapText="1"/>
    </xf>
    <xf numFmtId="164" fontId="0" fillId="0" borderId="9" xfId="0" applyNumberFormat="1" applyBorder="1" applyAlignment="1">
      <alignment horizontal="center" vertical="top"/>
    </xf>
    <xf numFmtId="164" fontId="0" fillId="0" borderId="10" xfId="0" applyNumberFormat="1" applyBorder="1" applyAlignment="1">
      <alignment horizontal="center" vertical="top"/>
    </xf>
    <xf numFmtId="164" fontId="0" fillId="0" borderId="11" xfId="0" applyNumberFormat="1" applyBorder="1" applyAlignment="1">
      <alignment horizontal="center" vertical="top"/>
    </xf>
    <xf numFmtId="0" fontId="2" fillId="9" borderId="6" xfId="0" applyFont="1" applyFill="1" applyBorder="1" applyAlignment="1">
      <alignment horizontal="left" vertical="center"/>
    </xf>
    <xf numFmtId="0" fontId="2" fillId="9" borderId="12" xfId="0" applyFont="1" applyFill="1" applyBorder="1" applyAlignment="1">
      <alignment horizontal="left" vertical="center"/>
    </xf>
    <xf numFmtId="0" fontId="2" fillId="9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64" fontId="0" fillId="0" borderId="7" xfId="0" applyNumberFormat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quotePrefix="1" applyBorder="1" applyAlignment="1">
      <alignment horizontal="center" vertical="top"/>
    </xf>
    <xf numFmtId="0" fontId="0" fillId="0" borderId="7" xfId="0" quotePrefix="1" applyBorder="1" applyAlignment="1">
      <alignment horizontal="center" vertical="top"/>
    </xf>
    <xf numFmtId="0" fontId="0" fillId="0" borderId="5" xfId="0" quotePrefix="1" applyBorder="1" applyAlignment="1">
      <alignment horizontal="center" vertical="top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4" xfId="0" applyNumberFormat="1" applyBorder="1" applyAlignment="1">
      <alignment horizontal="center" vertical="top" wrapText="1"/>
    </xf>
    <xf numFmtId="164" fontId="0" fillId="0" borderId="7" xfId="0" applyNumberFormat="1" applyBorder="1" applyAlignment="1">
      <alignment horizontal="center" vertical="top" wrapText="1"/>
    </xf>
    <xf numFmtId="164" fontId="0" fillId="0" borderId="5" xfId="0" applyNumberFormat="1" applyBorder="1" applyAlignment="1">
      <alignment horizontal="center" vertical="top" wrapText="1"/>
    </xf>
    <xf numFmtId="164" fontId="0" fillId="0" borderId="4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0" fillId="0" borderId="5" xfId="0" applyNumberFormat="1" applyBorder="1" applyAlignment="1">
      <alignment horizontal="center" vertical="top"/>
    </xf>
    <xf numFmtId="164" fontId="0" fillId="0" borderId="4" xfId="0" applyNumberFormat="1" applyBorder="1" applyAlignment="1">
      <alignment horizontal="left" vertical="top"/>
    </xf>
    <xf numFmtId="164" fontId="0" fillId="0" borderId="5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center" vertical="top"/>
    </xf>
    <xf numFmtId="0" fontId="2" fillId="9" borderId="2" xfId="0" applyFont="1" applyFill="1" applyBorder="1" applyAlignment="1">
      <alignment horizontal="left" vertical="center"/>
    </xf>
    <xf numFmtId="164" fontId="0" fillId="0" borderId="4" xfId="0" applyNumberFormat="1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9" xfId="0" applyNumberFormat="1" applyBorder="1" applyAlignment="1">
      <alignment horizontal="left" vertical="top"/>
    </xf>
    <xf numFmtId="164" fontId="0" fillId="0" borderId="10" xfId="0" applyNumberFormat="1" applyBorder="1" applyAlignment="1">
      <alignment horizontal="left" vertical="top"/>
    </xf>
    <xf numFmtId="164" fontId="0" fillId="0" borderId="11" xfId="0" applyNumberFormat="1" applyBorder="1" applyAlignment="1">
      <alignment horizontal="left" vertical="top"/>
    </xf>
    <xf numFmtId="15" fontId="6" fillId="7" borderId="4" xfId="0" applyNumberFormat="1" applyFont="1" applyFill="1" applyBorder="1" applyAlignment="1">
      <alignment horizontal="center" vertical="top"/>
    </xf>
    <xf numFmtId="15" fontId="6" fillId="7" borderId="5" xfId="0" applyNumberFormat="1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/>
    </xf>
    <xf numFmtId="14" fontId="0" fillId="0" borderId="7" xfId="0" applyNumberFormat="1" applyBorder="1" applyAlignment="1">
      <alignment horizontal="center" vertical="top"/>
    </xf>
    <xf numFmtId="14" fontId="0" fillId="0" borderId="5" xfId="0" applyNumberFormat="1" applyBorder="1" applyAlignment="1">
      <alignment horizontal="center" vertical="top"/>
    </xf>
    <xf numFmtId="164" fontId="9" fillId="0" borderId="9" xfId="0" applyNumberFormat="1" applyFont="1" applyBorder="1" applyAlignment="1">
      <alignment horizontal="center" vertical="top"/>
    </xf>
    <xf numFmtId="164" fontId="9" fillId="0" borderId="10" xfId="0" applyNumberFormat="1" applyFont="1" applyBorder="1" applyAlignment="1">
      <alignment horizontal="center" vertical="top"/>
    </xf>
    <xf numFmtId="164" fontId="9" fillId="0" borderId="11" xfId="0" applyNumberFormat="1" applyFont="1" applyBorder="1" applyAlignment="1">
      <alignment horizontal="center" vertical="top"/>
    </xf>
    <xf numFmtId="0" fontId="0" fillId="0" borderId="4" xfId="0" quotePrefix="1" applyBorder="1" applyAlignment="1">
      <alignment horizontal="left" vertical="top"/>
    </xf>
    <xf numFmtId="0" fontId="0" fillId="0" borderId="5" xfId="0" quotePrefix="1" applyBorder="1" applyAlignment="1">
      <alignment horizontal="left" vertical="top"/>
    </xf>
    <xf numFmtId="0" fontId="0" fillId="0" borderId="4" xfId="1" applyNumberFormat="1" applyFont="1" applyBorder="1" applyAlignment="1">
      <alignment horizontal="center" vertical="top"/>
    </xf>
    <xf numFmtId="0" fontId="0" fillId="0" borderId="5" xfId="1" applyNumberFormat="1" applyFont="1" applyBorder="1" applyAlignment="1">
      <alignment horizontal="center" vertical="top"/>
    </xf>
    <xf numFmtId="0" fontId="0" fillId="0" borderId="4" xfId="1" applyNumberFormat="1" applyFont="1" applyBorder="1" applyAlignment="1">
      <alignment horizontal="center" vertical="top" wrapText="1"/>
    </xf>
    <xf numFmtId="0" fontId="0" fillId="0" borderId="5" xfId="1" applyNumberFormat="1" applyFont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center"/>
    </xf>
    <xf numFmtId="164" fontId="0" fillId="7" borderId="4" xfId="0" applyNumberFormat="1" applyFill="1" applyBorder="1" applyAlignment="1">
      <alignment horizontal="center" vertical="top" wrapText="1"/>
    </xf>
    <xf numFmtId="164" fontId="0" fillId="7" borderId="7" xfId="0" applyNumberFormat="1" applyFill="1" applyBorder="1" applyAlignment="1">
      <alignment horizontal="center" vertical="top" wrapText="1"/>
    </xf>
    <xf numFmtId="164" fontId="0" fillId="7" borderId="5" xfId="0" applyNumberFormat="1" applyFill="1" applyBorder="1" applyAlignment="1">
      <alignment horizontal="center" vertical="top" wrapText="1"/>
    </xf>
    <xf numFmtId="164" fontId="0" fillId="7" borderId="9" xfId="0" applyNumberFormat="1" applyFill="1" applyBorder="1" applyAlignment="1">
      <alignment horizontal="center" vertical="top"/>
    </xf>
    <xf numFmtId="164" fontId="0" fillId="7" borderId="10" xfId="0" applyNumberFormat="1" applyFill="1" applyBorder="1" applyAlignment="1">
      <alignment horizontal="center" vertical="top"/>
    </xf>
    <xf numFmtId="164" fontId="0" fillId="7" borderId="11" xfId="0" applyNumberFormat="1" applyFill="1" applyBorder="1" applyAlignment="1">
      <alignment horizontal="center" vertical="top"/>
    </xf>
    <xf numFmtId="164" fontId="0" fillId="7" borderId="4" xfId="0" applyNumberFormat="1" applyFill="1" applyBorder="1" applyAlignment="1">
      <alignment horizontal="center" vertical="top"/>
    </xf>
    <xf numFmtId="164" fontId="0" fillId="7" borderId="7" xfId="0" applyNumberFormat="1" applyFill="1" applyBorder="1" applyAlignment="1">
      <alignment horizontal="center" vertical="top"/>
    </xf>
    <xf numFmtId="164" fontId="0" fillId="7" borderId="5" xfId="0" applyNumberFormat="1" applyFill="1" applyBorder="1" applyAlignment="1">
      <alignment horizontal="center" vertical="top"/>
    </xf>
    <xf numFmtId="0" fontId="0" fillId="0" borderId="4" xfId="0" quotePrefix="1" applyBorder="1" applyAlignment="1">
      <alignment horizontal="left" vertical="top" wrapText="1"/>
    </xf>
    <xf numFmtId="0" fontId="0" fillId="0" borderId="5" xfId="0" quotePrefix="1" applyBorder="1" applyAlignment="1">
      <alignment horizontal="left" vertical="top" wrapText="1"/>
    </xf>
    <xf numFmtId="0" fontId="0" fillId="7" borderId="4" xfId="0" applyFill="1" applyBorder="1" applyAlignment="1">
      <alignment horizontal="center" vertical="top"/>
    </xf>
    <xf numFmtId="0" fontId="0" fillId="7" borderId="5" xfId="0" applyFill="1" applyBorder="1" applyAlignment="1">
      <alignment horizontal="center" vertical="top"/>
    </xf>
    <xf numFmtId="15" fontId="0" fillId="0" borderId="4" xfId="0" quotePrefix="1" applyNumberFormat="1" applyBorder="1" applyAlignment="1">
      <alignment horizontal="center" vertical="top"/>
    </xf>
    <xf numFmtId="15" fontId="0" fillId="0" borderId="7" xfId="0" quotePrefix="1" applyNumberFormat="1" applyBorder="1" applyAlignment="1">
      <alignment horizontal="center" vertical="top"/>
    </xf>
    <xf numFmtId="15" fontId="0" fillId="0" borderId="5" xfId="0" quotePrefix="1" applyNumberFormat="1" applyBorder="1" applyAlignment="1">
      <alignment horizontal="center" vertical="top"/>
    </xf>
    <xf numFmtId="15" fontId="0" fillId="0" borderId="4" xfId="0" quotePrefix="1" applyNumberFormat="1" applyBorder="1" applyAlignment="1">
      <alignment horizontal="left" vertical="top" wrapText="1"/>
    </xf>
    <xf numFmtId="15" fontId="0" fillId="0" borderId="7" xfId="0" quotePrefix="1" applyNumberFormat="1" applyBorder="1" applyAlignment="1">
      <alignment horizontal="left" vertical="top" wrapText="1"/>
    </xf>
    <xf numFmtId="15" fontId="0" fillId="0" borderId="1" xfId="0" quotePrefix="1" applyNumberForma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0" fillId="7" borderId="7" xfId="0" applyFill="1" applyBorder="1" applyAlignment="1">
      <alignment horizontal="center" vertical="top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top"/>
    </xf>
    <xf numFmtId="15" fontId="2" fillId="5" borderId="1" xfId="0" applyNumberFormat="1" applyFont="1" applyFill="1" applyBorder="1" applyAlignment="1">
      <alignment horizontal="center" vertical="top"/>
    </xf>
    <xf numFmtId="15" fontId="0" fillId="13" borderId="1" xfId="0" applyNumberFormat="1" applyFill="1" applyBorder="1" applyAlignment="1">
      <alignment horizontal="center" vertical="top"/>
    </xf>
    <xf numFmtId="0" fontId="3" fillId="12" borderId="5" xfId="0" applyFont="1" applyFill="1" applyBorder="1" applyAlignment="1">
      <alignment horizontal="center" vertical="top"/>
    </xf>
    <xf numFmtId="15" fontId="0" fillId="0" borderId="14" xfId="0" quotePrefix="1" applyNumberFormat="1" applyBorder="1" applyAlignment="1">
      <alignment horizontal="center" vertical="top"/>
    </xf>
    <xf numFmtId="15" fontId="0" fillId="0" borderId="14" xfId="0" quotePrefix="1" applyNumberFormat="1" applyBorder="1" applyAlignment="1">
      <alignment horizontal="left" vertical="top" wrapText="1"/>
    </xf>
    <xf numFmtId="15" fontId="0" fillId="0" borderId="13" xfId="0" quotePrefix="1" applyNumberFormat="1" applyBorder="1" applyAlignment="1">
      <alignment horizontal="center" vertical="top" wrapText="1"/>
    </xf>
    <xf numFmtId="15" fontId="2" fillId="5" borderId="13" xfId="0" applyNumberFormat="1" applyFont="1" applyFill="1" applyBorder="1" applyAlignment="1">
      <alignment horizontal="center" vertical="top"/>
    </xf>
    <xf numFmtId="15" fontId="0" fillId="7" borderId="13" xfId="0" applyNumberFormat="1" applyFill="1" applyBorder="1" applyAlignment="1">
      <alignment horizontal="center" vertical="top"/>
    </xf>
    <xf numFmtId="15" fontId="0" fillId="13" borderId="1" xfId="0" applyNumberFormat="1" applyFont="1" applyFill="1" applyBorder="1" applyAlignment="1">
      <alignment horizontal="center" vertical="top"/>
    </xf>
    <xf numFmtId="15" fontId="0" fillId="7" borderId="1" xfId="0" applyNumberFormat="1" applyFont="1" applyFill="1" applyBorder="1" applyAlignment="1">
      <alignment horizontal="center" vertical="top"/>
    </xf>
    <xf numFmtId="15" fontId="0" fillId="0" borderId="7" xfId="0" quotePrefix="1" applyNumberFormat="1" applyBorder="1" applyAlignment="1">
      <alignment horizontal="center" vertical="top" wrapText="1"/>
    </xf>
    <xf numFmtId="15" fontId="0" fillId="0" borderId="14" xfId="0" quotePrefix="1" applyNumberFormat="1" applyBorder="1" applyAlignment="1">
      <alignment horizontal="center" vertical="top" wrapText="1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0" borderId="23" xfId="0" quotePrefix="1" applyBorder="1" applyAlignment="1">
      <alignment horizontal="center" vertical="top"/>
    </xf>
    <xf numFmtId="0" fontId="0" fillId="7" borderId="24" xfId="0" quotePrefix="1" applyFill="1" applyBorder="1" applyAlignment="1">
      <alignment horizontal="left" vertical="top" wrapText="1"/>
    </xf>
    <xf numFmtId="0" fontId="0" fillId="0" borderId="25" xfId="0" quotePrefix="1" applyBorder="1" applyAlignment="1">
      <alignment horizontal="center" vertical="top"/>
    </xf>
    <xf numFmtId="0" fontId="0" fillId="7" borderId="26" xfId="0" quotePrefix="1" applyFill="1" applyBorder="1" applyAlignment="1">
      <alignment horizontal="left" vertical="top" wrapText="1"/>
    </xf>
    <xf numFmtId="0" fontId="0" fillId="0" borderId="27" xfId="0" quotePrefix="1" applyBorder="1" applyAlignment="1">
      <alignment horizontal="center" vertical="top"/>
    </xf>
    <xf numFmtId="0" fontId="0" fillId="7" borderId="28" xfId="0" quotePrefix="1" applyFill="1" applyBorder="1" applyAlignment="1">
      <alignment horizontal="left" vertical="top" wrapText="1"/>
    </xf>
    <xf numFmtId="0" fontId="0" fillId="0" borderId="22" xfId="0" quotePrefix="1" applyBorder="1" applyAlignment="1">
      <alignment horizontal="center" vertical="top"/>
    </xf>
    <xf numFmtId="0" fontId="0" fillId="0" borderId="29" xfId="0" quotePrefix="1" applyBorder="1" applyAlignment="1">
      <alignment horizontal="center" vertical="top"/>
    </xf>
    <xf numFmtId="0" fontId="0" fillId="0" borderId="30" xfId="0" quotePrefix="1" applyBorder="1" applyAlignment="1">
      <alignment horizontal="center" vertical="top"/>
    </xf>
    <xf numFmtId="15" fontId="0" fillId="0" borderId="31" xfId="0" quotePrefix="1" applyNumberFormat="1" applyBorder="1" applyAlignment="1">
      <alignment horizontal="center" vertical="top" wrapText="1"/>
    </xf>
    <xf numFmtId="15" fontId="0" fillId="0" borderId="31" xfId="0" quotePrefix="1" applyNumberFormat="1" applyBorder="1" applyAlignment="1">
      <alignment horizontal="left" vertical="top" wrapText="1"/>
    </xf>
    <xf numFmtId="15" fontId="0" fillId="0" borderId="31" xfId="0" quotePrefix="1" applyNumberFormat="1" applyBorder="1" applyAlignment="1">
      <alignment horizontal="center" vertical="top"/>
    </xf>
    <xf numFmtId="15" fontId="0" fillId="0" borderId="32" xfId="0" quotePrefix="1" applyNumberFormat="1" applyBorder="1" applyAlignment="1">
      <alignment horizontal="center" vertical="top" wrapText="1"/>
    </xf>
    <xf numFmtId="15" fontId="0" fillId="7" borderId="32" xfId="0" applyNumberFormat="1" applyFill="1" applyBorder="1" applyAlignment="1">
      <alignment horizontal="center" vertical="top"/>
    </xf>
    <xf numFmtId="0" fontId="0" fillId="7" borderId="33" xfId="0" quotePrefix="1" applyFill="1" applyBorder="1" applyAlignment="1">
      <alignment horizontal="left" vertical="top" wrapText="1"/>
    </xf>
    <xf numFmtId="0" fontId="2" fillId="4" borderId="34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35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15" fontId="0" fillId="7" borderId="5" xfId="0" applyNumberFormat="1" applyFill="1" applyBorder="1" applyAlignment="1">
      <alignment horizontal="center" vertical="top"/>
    </xf>
    <xf numFmtId="0" fontId="0" fillId="0" borderId="37" xfId="0" quotePrefix="1" applyBorder="1" applyAlignment="1">
      <alignment horizontal="center" vertical="top"/>
    </xf>
    <xf numFmtId="15" fontId="0" fillId="0" borderId="38" xfId="0" quotePrefix="1" applyNumberFormat="1" applyBorder="1" applyAlignment="1">
      <alignment horizontal="center" vertical="top"/>
    </xf>
    <xf numFmtId="15" fontId="0" fillId="0" borderId="38" xfId="0" quotePrefix="1" applyNumberFormat="1" applyBorder="1" applyAlignment="1">
      <alignment horizontal="left" vertical="top" wrapText="1"/>
    </xf>
    <xf numFmtId="15" fontId="0" fillId="0" borderId="39" xfId="0" quotePrefix="1" applyNumberFormat="1" applyBorder="1" applyAlignment="1">
      <alignment horizontal="center" vertical="top"/>
    </xf>
    <xf numFmtId="0" fontId="3" fillId="12" borderId="39" xfId="0" applyFont="1" applyFill="1" applyBorder="1" applyAlignment="1">
      <alignment horizontal="center" vertical="top"/>
    </xf>
    <xf numFmtId="0" fontId="3" fillId="7" borderId="39" xfId="0" applyFont="1" applyFill="1" applyBorder="1" applyAlignment="1">
      <alignment horizontal="center" vertical="top"/>
    </xf>
    <xf numFmtId="0" fontId="0" fillId="7" borderId="40" xfId="0" quotePrefix="1" applyFill="1" applyBorder="1" applyAlignment="1">
      <alignment horizontal="left" vertical="top" wrapText="1"/>
    </xf>
    <xf numFmtId="15" fontId="8" fillId="5" borderId="13" xfId="0" applyNumberFormat="1" applyFont="1" applyFill="1" applyBorder="1" applyAlignment="1">
      <alignment horizontal="center" vertical="top"/>
    </xf>
    <xf numFmtId="15" fontId="9" fillId="13" borderId="1" xfId="0" applyNumberFormat="1" applyFont="1" applyFill="1" applyBorder="1" applyAlignment="1">
      <alignment horizontal="center" vertical="top"/>
    </xf>
    <xf numFmtId="15" fontId="0" fillId="7" borderId="39" xfId="0" applyNumberFormat="1" applyFill="1" applyBorder="1" applyAlignment="1">
      <alignment horizontal="center" vertical="top"/>
    </xf>
    <xf numFmtId="0" fontId="0" fillId="0" borderId="42" xfId="0" quotePrefix="1" applyBorder="1" applyAlignment="1">
      <alignment horizontal="center" vertical="top"/>
    </xf>
    <xf numFmtId="15" fontId="0" fillId="0" borderId="39" xfId="0" quotePrefix="1" applyNumberFormat="1" applyBorder="1" applyAlignment="1">
      <alignment horizontal="center" vertical="top"/>
    </xf>
    <xf numFmtId="0" fontId="0" fillId="0" borderId="43" xfId="0" quotePrefix="1" applyBorder="1" applyAlignment="1">
      <alignment horizontal="center" vertical="top"/>
    </xf>
    <xf numFmtId="15" fontId="0" fillId="0" borderId="13" xfId="0" quotePrefix="1" applyNumberFormat="1" applyBorder="1" applyAlignment="1">
      <alignment horizontal="center" vertical="top"/>
    </xf>
    <xf numFmtId="15" fontId="0" fillId="0" borderId="41" xfId="0" quotePrefix="1" applyNumberFormat="1" applyBorder="1" applyAlignment="1">
      <alignment horizontal="center" vertical="top"/>
    </xf>
    <xf numFmtId="15" fontId="0" fillId="0" borderId="44" xfId="0" quotePrefix="1" applyNumberFormat="1" applyBorder="1" applyAlignment="1">
      <alignment horizontal="center" vertical="top"/>
    </xf>
    <xf numFmtId="15" fontId="0" fillId="0" borderId="45" xfId="0" quotePrefix="1" applyNumberFormat="1" applyBorder="1" applyAlignment="1">
      <alignment horizontal="center" vertical="top"/>
    </xf>
    <xf numFmtId="15" fontId="2" fillId="5" borderId="14" xfId="0" applyNumberFormat="1" applyFont="1" applyFill="1" applyBorder="1" applyAlignment="1">
      <alignment horizontal="center" vertical="top"/>
    </xf>
    <xf numFmtId="15" fontId="2" fillId="7" borderId="14" xfId="0" applyNumberFormat="1" applyFont="1" applyFill="1" applyBorder="1" applyAlignment="1">
      <alignment horizontal="center" vertical="top"/>
    </xf>
    <xf numFmtId="15" fontId="2" fillId="5" borderId="32" xfId="0" applyNumberFormat="1" applyFont="1" applyFill="1" applyBorder="1" applyAlignment="1">
      <alignment horizontal="center" vertical="top"/>
    </xf>
  </cellXfs>
  <cellStyles count="4">
    <cellStyle name="Comma [0]" xfId="2" builtinId="6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E7BFE7"/>
      <color rgb="FFDA9E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107</xdr:row>
      <xdr:rowOff>127000</xdr:rowOff>
    </xdr:from>
    <xdr:to>
      <xdr:col>9</xdr:col>
      <xdr:colOff>181908</xdr:colOff>
      <xdr:row>128</xdr:row>
      <xdr:rowOff>88361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879435-0698-4D06-B795-200BB384D0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96" t="22411" r="5879" b="20203"/>
        <a:stretch/>
      </xdr:blipFill>
      <xdr:spPr>
        <a:xfrm>
          <a:off x="3898900" y="40862250"/>
          <a:ext cx="7909858" cy="38285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166</xdr:row>
      <xdr:rowOff>127000</xdr:rowOff>
    </xdr:from>
    <xdr:to>
      <xdr:col>10</xdr:col>
      <xdr:colOff>181909</xdr:colOff>
      <xdr:row>187</xdr:row>
      <xdr:rowOff>88361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3ED783-82D7-40E4-ABC9-09E1446F6E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96" t="22411" r="5879" b="20203"/>
        <a:stretch/>
      </xdr:blipFill>
      <xdr:spPr>
        <a:xfrm>
          <a:off x="3873500" y="44691300"/>
          <a:ext cx="7909858" cy="38285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129</xdr:row>
      <xdr:rowOff>127000</xdr:rowOff>
    </xdr:from>
    <xdr:to>
      <xdr:col>10</xdr:col>
      <xdr:colOff>181909</xdr:colOff>
      <xdr:row>150</xdr:row>
      <xdr:rowOff>88361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4EBB23-2CCF-4C19-B9AC-0007CBE066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8296" t="22411" r="5879" b="20203"/>
        <a:stretch/>
      </xdr:blipFill>
      <xdr:spPr>
        <a:xfrm>
          <a:off x="3790950" y="51898550"/>
          <a:ext cx="7909858" cy="38285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A61F-76D6-418C-BDF0-8704B7743BF6}">
  <sheetPr>
    <tabColor rgb="FF00B0F0"/>
  </sheetPr>
  <dimension ref="A1:K107"/>
  <sheetViews>
    <sheetView showGridLines="0" zoomScale="85" zoomScaleNormal="85" workbookViewId="0">
      <pane xSplit="1" ySplit="7" topLeftCell="B98" activePane="bottomRight" state="frozen"/>
      <selection pane="topRight" activeCell="B1" sqref="B1"/>
      <selection pane="bottomLeft" activeCell="A8" sqref="A8"/>
      <selection pane="bottomRight" activeCell="E99" sqref="E99"/>
    </sheetView>
  </sheetViews>
  <sheetFormatPr defaultRowHeight="14.5" x14ac:dyDescent="0.35"/>
  <cols>
    <col min="1" max="1" width="28.36328125" bestFit="1" customWidth="1"/>
    <col min="2" max="2" width="5.08984375" customWidth="1"/>
    <col min="3" max="3" width="9.36328125" style="2" customWidth="1"/>
    <col min="4" max="4" width="13" style="2" bestFit="1" customWidth="1"/>
    <col min="5" max="5" width="43.453125" style="2" customWidth="1"/>
    <col min="6" max="6" width="17.1796875" style="2" customWidth="1"/>
    <col min="7" max="7" width="27.26953125" style="2" customWidth="1"/>
    <col min="8" max="8" width="11.36328125" style="2" customWidth="1"/>
    <col min="9" max="10" width="11.36328125" customWidth="1"/>
    <col min="11" max="11" width="37.08984375" style="2" customWidth="1"/>
  </cols>
  <sheetData>
    <row r="1" spans="1:11" x14ac:dyDescent="0.35">
      <c r="A1" s="1" t="s">
        <v>2</v>
      </c>
      <c r="B1" s="18"/>
    </row>
    <row r="2" spans="1:11" x14ac:dyDescent="0.35">
      <c r="A2" s="1" t="s">
        <v>19</v>
      </c>
      <c r="B2" s="1"/>
    </row>
    <row r="3" spans="1:11" x14ac:dyDescent="0.35">
      <c r="A3" s="1" t="s">
        <v>87</v>
      </c>
      <c r="B3" s="1"/>
    </row>
    <row r="5" spans="1:11" s="3" customFormat="1" ht="17" customHeight="1" x14ac:dyDescent="0.35">
      <c r="A5" s="296" t="s">
        <v>3</v>
      </c>
      <c r="B5" s="291" t="s">
        <v>4</v>
      </c>
      <c r="C5" s="296" t="s">
        <v>5</v>
      </c>
      <c r="D5" s="291" t="s">
        <v>7</v>
      </c>
      <c r="E5" s="291" t="s">
        <v>6</v>
      </c>
      <c r="F5" s="291" t="s">
        <v>9</v>
      </c>
      <c r="G5" s="291" t="s">
        <v>10</v>
      </c>
      <c r="H5" s="293" t="s">
        <v>3</v>
      </c>
      <c r="I5" s="294"/>
      <c r="J5" s="295"/>
      <c r="K5" s="296" t="s">
        <v>0</v>
      </c>
    </row>
    <row r="6" spans="1:11" s="3" customFormat="1" ht="21.5" customHeight="1" x14ac:dyDescent="0.35">
      <c r="A6" s="296"/>
      <c r="B6" s="292"/>
      <c r="C6" s="296"/>
      <c r="D6" s="292"/>
      <c r="E6" s="292"/>
      <c r="F6" s="292"/>
      <c r="G6" s="292"/>
      <c r="H6" s="4" t="s">
        <v>11</v>
      </c>
      <c r="I6" s="4" t="s">
        <v>12</v>
      </c>
      <c r="J6" s="4" t="s">
        <v>13</v>
      </c>
      <c r="K6" s="296"/>
    </row>
    <row r="7" spans="1:11" s="3" customFormat="1" ht="21.5" customHeight="1" x14ac:dyDescent="0.35">
      <c r="A7" s="288" t="s">
        <v>15</v>
      </c>
      <c r="B7" s="288"/>
      <c r="C7" s="288"/>
      <c r="D7" s="288"/>
      <c r="E7" s="288"/>
      <c r="F7" s="288"/>
      <c r="G7" s="288"/>
      <c r="H7" s="288"/>
      <c r="I7" s="289"/>
      <c r="J7" s="289"/>
      <c r="K7" s="290"/>
    </row>
    <row r="8" spans="1:11" s="10" customFormat="1" ht="34.5" customHeight="1" x14ac:dyDescent="0.35">
      <c r="A8" s="143">
        <v>45628</v>
      </c>
      <c r="B8" s="19">
        <v>1</v>
      </c>
      <c r="C8" s="5" t="s">
        <v>24</v>
      </c>
      <c r="D8" s="33" t="s">
        <v>50</v>
      </c>
      <c r="E8" s="124" t="s">
        <v>1028</v>
      </c>
      <c r="F8" s="33" t="s">
        <v>18</v>
      </c>
      <c r="G8" s="239" t="s">
        <v>31</v>
      </c>
      <c r="H8" s="82"/>
      <c r="I8" s="8"/>
      <c r="J8" s="8"/>
      <c r="K8" s="124"/>
    </row>
    <row r="9" spans="1:11" s="10" customFormat="1" ht="43.5" x14ac:dyDescent="0.35">
      <c r="A9" s="78"/>
      <c r="B9" s="88">
        <v>2</v>
      </c>
      <c r="C9" s="29" t="s">
        <v>52</v>
      </c>
      <c r="D9" s="89" t="s">
        <v>996</v>
      </c>
      <c r="E9" s="30" t="s">
        <v>1029</v>
      </c>
      <c r="F9" s="33"/>
      <c r="G9" s="89"/>
      <c r="H9" s="90"/>
      <c r="I9" s="16"/>
      <c r="J9" s="8"/>
      <c r="K9" s="31"/>
    </row>
    <row r="10" spans="1:11" s="10" customFormat="1" ht="33" customHeight="1" x14ac:dyDescent="0.35">
      <c r="A10" s="78"/>
      <c r="B10" s="38">
        <v>3</v>
      </c>
      <c r="C10" s="39" t="s">
        <v>52</v>
      </c>
      <c r="D10" s="41" t="s">
        <v>60</v>
      </c>
      <c r="E10" s="40" t="s">
        <v>944</v>
      </c>
      <c r="F10" s="89" t="s">
        <v>1030</v>
      </c>
      <c r="G10" s="41"/>
      <c r="H10" s="47"/>
      <c r="I10" s="83"/>
      <c r="J10" s="84"/>
      <c r="K10" s="45"/>
    </row>
    <row r="11" spans="1:11" s="10" customFormat="1" ht="33" customHeight="1" x14ac:dyDescent="0.35">
      <c r="A11" s="79"/>
      <c r="B11" s="38">
        <v>4</v>
      </c>
      <c r="C11" s="39" t="s">
        <v>24</v>
      </c>
      <c r="D11" s="41" t="s">
        <v>97</v>
      </c>
      <c r="E11" s="40" t="s">
        <v>1000</v>
      </c>
      <c r="F11" s="33" t="s">
        <v>18</v>
      </c>
      <c r="G11" s="41" t="s">
        <v>91</v>
      </c>
      <c r="H11" s="47"/>
      <c r="I11" s="83"/>
      <c r="J11" s="8"/>
      <c r="K11" s="45"/>
    </row>
    <row r="12" spans="1:11" s="10" customFormat="1" ht="43.5" x14ac:dyDescent="0.35">
      <c r="A12" s="143">
        <v>45629</v>
      </c>
      <c r="B12" s="38">
        <v>1</v>
      </c>
      <c r="C12" s="39" t="s">
        <v>52</v>
      </c>
      <c r="D12" s="41" t="s">
        <v>996</v>
      </c>
      <c r="E12" s="40" t="s">
        <v>1031</v>
      </c>
      <c r="F12" s="33"/>
      <c r="G12" s="41"/>
      <c r="H12" s="47"/>
      <c r="I12" s="83"/>
      <c r="J12" s="8"/>
      <c r="K12" s="45"/>
    </row>
    <row r="13" spans="1:11" s="10" customFormat="1" ht="35" customHeight="1" x14ac:dyDescent="0.35">
      <c r="A13" s="78"/>
      <c r="B13" s="19">
        <v>2</v>
      </c>
      <c r="C13" s="5" t="s">
        <v>29</v>
      </c>
      <c r="D13" s="33" t="s">
        <v>1032</v>
      </c>
      <c r="E13" s="6" t="s">
        <v>1037</v>
      </c>
      <c r="F13" s="33" t="s">
        <v>1033</v>
      </c>
      <c r="G13" s="33"/>
      <c r="H13" s="7"/>
      <c r="I13" s="8"/>
      <c r="J13" s="8"/>
      <c r="K13" s="45"/>
    </row>
    <row r="14" spans="1:11" s="10" customFormat="1" ht="34" customHeight="1" x14ac:dyDescent="0.35">
      <c r="A14" s="78"/>
      <c r="B14" s="19">
        <v>3</v>
      </c>
      <c r="C14" s="5" t="s">
        <v>52</v>
      </c>
      <c r="D14" s="33" t="s">
        <v>1036</v>
      </c>
      <c r="E14" s="6" t="s">
        <v>1034</v>
      </c>
      <c r="F14" s="33" t="s">
        <v>1035</v>
      </c>
      <c r="G14" s="33"/>
      <c r="H14" s="7"/>
      <c r="I14" s="8"/>
      <c r="J14" s="8"/>
      <c r="K14" s="9"/>
    </row>
    <row r="15" spans="1:11" s="10" customFormat="1" ht="43.5" x14ac:dyDescent="0.35">
      <c r="A15" s="78"/>
      <c r="B15" s="38">
        <v>4</v>
      </c>
      <c r="C15" s="39" t="s">
        <v>24</v>
      </c>
      <c r="D15" s="41" t="s">
        <v>42</v>
      </c>
      <c r="E15" s="145" t="s">
        <v>1038</v>
      </c>
      <c r="F15" s="33"/>
      <c r="G15" s="41"/>
      <c r="H15" s="144"/>
      <c r="I15" s="8"/>
      <c r="J15" s="8"/>
      <c r="K15" s="45"/>
    </row>
    <row r="16" spans="1:11" s="10" customFormat="1" ht="29" x14ac:dyDescent="0.35">
      <c r="A16" s="78"/>
      <c r="B16" s="38">
        <v>5</v>
      </c>
      <c r="C16" s="39" t="s">
        <v>52</v>
      </c>
      <c r="D16" s="41" t="s">
        <v>996</v>
      </c>
      <c r="E16" s="145" t="s">
        <v>1040</v>
      </c>
      <c r="F16" s="41" t="s">
        <v>18</v>
      </c>
      <c r="G16" s="41" t="s">
        <v>31</v>
      </c>
      <c r="H16" s="144"/>
      <c r="I16" s="8"/>
      <c r="J16" s="8"/>
      <c r="K16" s="45"/>
    </row>
    <row r="17" spans="1:11" s="10" customFormat="1" ht="46" customHeight="1" x14ac:dyDescent="0.35">
      <c r="A17" s="78"/>
      <c r="B17" s="38">
        <v>6</v>
      </c>
      <c r="C17" s="39" t="s">
        <v>24</v>
      </c>
      <c r="D17" s="41" t="s">
        <v>1041</v>
      </c>
      <c r="E17" s="145" t="s">
        <v>1042</v>
      </c>
      <c r="F17" s="41"/>
      <c r="G17" s="41"/>
      <c r="H17" s="144"/>
      <c r="I17" s="8"/>
      <c r="J17" s="8"/>
      <c r="K17" s="45"/>
    </row>
    <row r="18" spans="1:11" s="10" customFormat="1" ht="43.5" x14ac:dyDescent="0.35">
      <c r="A18" s="79"/>
      <c r="B18" s="38">
        <v>7</v>
      </c>
      <c r="C18" s="39" t="s">
        <v>52</v>
      </c>
      <c r="D18" s="39" t="s">
        <v>81</v>
      </c>
      <c r="E18" s="40" t="s">
        <v>1039</v>
      </c>
      <c r="F18" s="41" t="s">
        <v>18</v>
      </c>
      <c r="G18" s="41" t="s">
        <v>75</v>
      </c>
      <c r="H18" s="82"/>
      <c r="I18" s="8"/>
      <c r="J18" s="8"/>
      <c r="K18" s="45"/>
    </row>
    <row r="19" spans="1:11" s="10" customFormat="1" ht="19.5" customHeight="1" x14ac:dyDescent="0.35">
      <c r="A19" s="143">
        <v>45630</v>
      </c>
      <c r="B19" s="306"/>
      <c r="C19" s="306"/>
      <c r="D19" s="300" t="s">
        <v>1043</v>
      </c>
      <c r="E19" s="303" t="s">
        <v>1044</v>
      </c>
      <c r="F19" s="41"/>
      <c r="G19" s="41"/>
      <c r="H19" s="82"/>
      <c r="I19" s="8"/>
      <c r="J19" s="8"/>
      <c r="K19" s="45"/>
    </row>
    <row r="20" spans="1:11" s="10" customFormat="1" ht="19.5" customHeight="1" x14ac:dyDescent="0.35">
      <c r="A20" s="143">
        <v>45631</v>
      </c>
      <c r="B20" s="307"/>
      <c r="C20" s="307"/>
      <c r="D20" s="301"/>
      <c r="E20" s="304"/>
      <c r="F20" s="41"/>
      <c r="G20" s="41"/>
      <c r="H20" s="82"/>
      <c r="I20" s="8"/>
      <c r="J20" s="8"/>
      <c r="K20" s="45"/>
    </row>
    <row r="21" spans="1:11" s="10" customFormat="1" ht="19.5" customHeight="1" x14ac:dyDescent="0.35">
      <c r="A21" s="241">
        <v>45632</v>
      </c>
      <c r="B21" s="308"/>
      <c r="C21" s="308"/>
      <c r="D21" s="302"/>
      <c r="E21" s="305"/>
      <c r="F21" s="41"/>
      <c r="G21" s="41"/>
      <c r="H21" s="82"/>
      <c r="I21" s="8"/>
      <c r="J21" s="8"/>
      <c r="K21" s="45"/>
    </row>
    <row r="22" spans="1:11" s="3" customFormat="1" ht="21.5" customHeight="1" x14ac:dyDescent="0.35">
      <c r="A22" s="288" t="s">
        <v>45</v>
      </c>
      <c r="B22" s="288"/>
      <c r="C22" s="288"/>
      <c r="D22" s="288"/>
      <c r="E22" s="288"/>
      <c r="F22" s="288"/>
      <c r="G22" s="288"/>
      <c r="H22" s="288"/>
      <c r="I22" s="289"/>
      <c r="J22" s="289"/>
      <c r="K22" s="290"/>
    </row>
    <row r="23" spans="1:11" s="10" customFormat="1" ht="33.5" customHeight="1" x14ac:dyDescent="0.35">
      <c r="A23" s="311">
        <v>45635</v>
      </c>
      <c r="B23" s="19">
        <v>1</v>
      </c>
      <c r="C23" s="11" t="s">
        <v>89</v>
      </c>
      <c r="D23" s="11" t="s">
        <v>97</v>
      </c>
      <c r="E23" s="6" t="s">
        <v>987</v>
      </c>
      <c r="F23" s="49"/>
      <c r="G23" s="49"/>
      <c r="H23" s="34"/>
      <c r="I23" s="46"/>
      <c r="J23" s="46"/>
      <c r="K23" s="50"/>
    </row>
    <row r="24" spans="1:11" s="10" customFormat="1" ht="41" customHeight="1" x14ac:dyDescent="0.35">
      <c r="A24" s="312"/>
      <c r="B24" s="38">
        <v>2</v>
      </c>
      <c r="C24" s="5" t="s">
        <v>52</v>
      </c>
      <c r="D24" s="5" t="s">
        <v>113</v>
      </c>
      <c r="E24" s="6" t="s">
        <v>1045</v>
      </c>
      <c r="F24" s="49"/>
      <c r="G24" s="49"/>
      <c r="H24" s="47"/>
      <c r="I24" s="54"/>
      <c r="J24" s="44"/>
      <c r="K24" s="50"/>
    </row>
    <row r="25" spans="1:11" s="10" customFormat="1" ht="30" customHeight="1" x14ac:dyDescent="0.35">
      <c r="A25" s="313"/>
      <c r="B25" s="19">
        <v>3</v>
      </c>
      <c r="C25" s="11" t="s">
        <v>47</v>
      </c>
      <c r="D25" s="11" t="s">
        <v>878</v>
      </c>
      <c r="E25" s="6" t="s">
        <v>1046</v>
      </c>
      <c r="F25" s="33"/>
      <c r="G25" s="33"/>
      <c r="H25" s="34"/>
      <c r="I25" s="46"/>
      <c r="J25" s="8"/>
      <c r="K25" s="9"/>
    </row>
    <row r="26" spans="1:11" s="10" customFormat="1" ht="51" customHeight="1" x14ac:dyDescent="0.35">
      <c r="A26" s="241">
        <v>45636</v>
      </c>
      <c r="B26" s="19">
        <v>1</v>
      </c>
      <c r="C26" s="11" t="s">
        <v>47</v>
      </c>
      <c r="D26" s="11" t="s">
        <v>878</v>
      </c>
      <c r="E26" s="6" t="s">
        <v>1046</v>
      </c>
      <c r="F26" s="33"/>
      <c r="G26" s="33"/>
      <c r="H26" s="5"/>
      <c r="I26" s="8"/>
      <c r="J26" s="8"/>
      <c r="K26" s="9"/>
    </row>
    <row r="27" spans="1:11" s="10" customFormat="1" ht="29.5" customHeight="1" x14ac:dyDescent="0.35">
      <c r="A27" s="311">
        <v>45637</v>
      </c>
      <c r="B27" s="19">
        <v>1</v>
      </c>
      <c r="C27" s="11" t="s">
        <v>52</v>
      </c>
      <c r="D27" s="11" t="s">
        <v>110</v>
      </c>
      <c r="E27" s="6" t="s">
        <v>1047</v>
      </c>
      <c r="F27" s="49" t="s">
        <v>1048</v>
      </c>
      <c r="G27" s="33"/>
      <c r="H27" s="5"/>
      <c r="I27" s="8"/>
      <c r="J27" s="8"/>
      <c r="K27" s="50"/>
    </row>
    <row r="28" spans="1:11" ht="32" customHeight="1" x14ac:dyDescent="0.35">
      <c r="A28" s="312"/>
      <c r="B28" s="19">
        <v>2</v>
      </c>
      <c r="C28" s="5" t="s">
        <v>447</v>
      </c>
      <c r="D28" s="5" t="s">
        <v>1049</v>
      </c>
      <c r="E28" s="6" t="s">
        <v>1050</v>
      </c>
      <c r="F28" s="49" t="s">
        <v>18</v>
      </c>
      <c r="G28" s="33" t="s">
        <v>77</v>
      </c>
      <c r="H28" s="12"/>
      <c r="I28" s="13"/>
      <c r="J28" s="13"/>
      <c r="K28" s="9"/>
    </row>
    <row r="29" spans="1:11" ht="43.5" x14ac:dyDescent="0.35">
      <c r="A29" s="313"/>
      <c r="B29" s="38">
        <v>3</v>
      </c>
      <c r="C29" s="5" t="s">
        <v>52</v>
      </c>
      <c r="D29" s="39" t="s">
        <v>81</v>
      </c>
      <c r="E29" s="40" t="s">
        <v>1051</v>
      </c>
      <c r="F29" s="49" t="s">
        <v>18</v>
      </c>
      <c r="G29" s="41" t="s">
        <v>75</v>
      </c>
      <c r="H29" s="12"/>
      <c r="I29" s="13"/>
      <c r="J29" s="28"/>
      <c r="K29" s="40"/>
    </row>
    <row r="30" spans="1:11" ht="67" customHeight="1" x14ac:dyDescent="0.35">
      <c r="A30" s="314">
        <v>45638</v>
      </c>
      <c r="B30" s="38">
        <v>1</v>
      </c>
      <c r="C30" s="42" t="s">
        <v>52</v>
      </c>
      <c r="D30" s="39" t="s">
        <v>195</v>
      </c>
      <c r="E30" s="40" t="s">
        <v>1052</v>
      </c>
      <c r="F30" s="41"/>
      <c r="G30" s="41"/>
      <c r="H30" s="12"/>
      <c r="I30" s="13"/>
      <c r="J30" s="28"/>
      <c r="K30" s="45"/>
    </row>
    <row r="31" spans="1:11" ht="35.5" customHeight="1" x14ac:dyDescent="0.35">
      <c r="A31" s="315"/>
      <c r="B31" s="38">
        <v>2</v>
      </c>
      <c r="C31" s="42" t="s">
        <v>52</v>
      </c>
      <c r="D31" s="39" t="s">
        <v>8</v>
      </c>
      <c r="E31" s="40" t="s">
        <v>1053</v>
      </c>
      <c r="F31" s="41" t="s">
        <v>30</v>
      </c>
      <c r="G31" s="41" t="s">
        <v>31</v>
      </c>
      <c r="H31" s="12"/>
      <c r="I31" s="13"/>
      <c r="J31" s="28"/>
      <c r="K31" s="45"/>
    </row>
    <row r="32" spans="1:11" ht="38.5" customHeight="1" x14ac:dyDescent="0.35">
      <c r="A32" s="315"/>
      <c r="B32" s="38">
        <v>3</v>
      </c>
      <c r="C32" s="42" t="s">
        <v>52</v>
      </c>
      <c r="D32" s="39" t="s">
        <v>225</v>
      </c>
      <c r="E32" s="40" t="s">
        <v>1054</v>
      </c>
      <c r="F32" s="41"/>
      <c r="G32" s="41"/>
      <c r="H32" s="12"/>
      <c r="I32" s="13"/>
      <c r="J32" s="28"/>
      <c r="K32" s="45"/>
    </row>
    <row r="33" spans="1:11" ht="46" customHeight="1" x14ac:dyDescent="0.35">
      <c r="A33" s="316"/>
      <c r="B33" s="38">
        <v>4</v>
      </c>
      <c r="C33" s="42" t="s">
        <v>52</v>
      </c>
      <c r="D33" s="41" t="s">
        <v>60</v>
      </c>
      <c r="E33" s="40" t="s">
        <v>944</v>
      </c>
      <c r="F33" s="49"/>
      <c r="G33" s="41"/>
      <c r="H33" s="12"/>
      <c r="I33" s="13"/>
      <c r="J33" s="28"/>
      <c r="K33" s="45"/>
    </row>
    <row r="34" spans="1:11" ht="58" x14ac:dyDescent="0.35">
      <c r="A34" s="80">
        <v>45639</v>
      </c>
      <c r="B34" s="38">
        <v>1</v>
      </c>
      <c r="C34" s="42" t="s">
        <v>29</v>
      </c>
      <c r="D34" s="39" t="s">
        <v>14</v>
      </c>
      <c r="E34" s="40" t="s">
        <v>1055</v>
      </c>
      <c r="F34" s="49" t="s">
        <v>11</v>
      </c>
      <c r="G34" s="41" t="s">
        <v>623</v>
      </c>
      <c r="H34" s="12"/>
      <c r="I34" s="13"/>
      <c r="J34" s="28"/>
      <c r="K34" s="45"/>
    </row>
    <row r="35" spans="1:11" ht="58" x14ac:dyDescent="0.35">
      <c r="A35" s="26"/>
      <c r="B35" s="38">
        <v>2</v>
      </c>
      <c r="C35" s="42" t="s">
        <v>29</v>
      </c>
      <c r="D35" s="39" t="s">
        <v>8</v>
      </c>
      <c r="E35" s="40" t="s">
        <v>1056</v>
      </c>
      <c r="F35" s="41" t="s">
        <v>11</v>
      </c>
      <c r="G35" s="41" t="s">
        <v>31</v>
      </c>
      <c r="H35" s="12"/>
      <c r="I35" s="13"/>
      <c r="J35" s="28"/>
      <c r="K35" s="45"/>
    </row>
    <row r="36" spans="1:11" ht="46" customHeight="1" x14ac:dyDescent="0.35">
      <c r="A36" s="26"/>
      <c r="B36" s="38">
        <v>3</v>
      </c>
      <c r="C36" s="42" t="s">
        <v>29</v>
      </c>
      <c r="D36" s="39" t="s">
        <v>8</v>
      </c>
      <c r="E36" s="40" t="s">
        <v>1057</v>
      </c>
      <c r="F36" s="49" t="s">
        <v>11</v>
      </c>
      <c r="G36" s="41" t="s">
        <v>31</v>
      </c>
      <c r="H36" s="12"/>
      <c r="I36" s="13"/>
      <c r="J36" s="28"/>
      <c r="K36" s="45"/>
    </row>
    <row r="37" spans="1:11" s="10" customFormat="1" ht="34.5" customHeight="1" x14ac:dyDescent="0.35">
      <c r="A37" s="65"/>
      <c r="B37" s="19">
        <v>4</v>
      </c>
      <c r="C37" s="5" t="s">
        <v>29</v>
      </c>
      <c r="D37" s="5" t="s">
        <v>968</v>
      </c>
      <c r="E37" s="6" t="s">
        <v>1050</v>
      </c>
      <c r="F37" s="33" t="s">
        <v>18</v>
      </c>
      <c r="G37" s="33" t="s">
        <v>77</v>
      </c>
      <c r="H37" s="47"/>
      <c r="I37" s="47"/>
      <c r="J37" s="39"/>
      <c r="K37" s="45"/>
    </row>
    <row r="38" spans="1:11" s="3" customFormat="1" ht="21.5" customHeight="1" x14ac:dyDescent="0.35">
      <c r="A38" s="288" t="s">
        <v>63</v>
      </c>
      <c r="B38" s="288"/>
      <c r="C38" s="288"/>
      <c r="D38" s="288"/>
      <c r="E38" s="288"/>
      <c r="F38" s="288"/>
      <c r="G38" s="288"/>
      <c r="H38" s="288"/>
      <c r="I38" s="289"/>
      <c r="J38" s="289"/>
      <c r="K38" s="290"/>
    </row>
    <row r="39" spans="1:11" ht="36" customHeight="1" x14ac:dyDescent="0.35">
      <c r="A39" s="285">
        <v>45642</v>
      </c>
      <c r="B39" s="20">
        <v>1</v>
      </c>
      <c r="C39" s="14" t="s">
        <v>447</v>
      </c>
      <c r="D39" s="14" t="s">
        <v>97</v>
      </c>
      <c r="E39" s="15" t="s">
        <v>1058</v>
      </c>
      <c r="F39" s="49"/>
      <c r="G39" s="14"/>
      <c r="H39" s="23"/>
      <c r="I39" s="14"/>
      <c r="J39" s="14"/>
      <c r="K39" s="17"/>
    </row>
    <row r="40" spans="1:11" ht="40" customHeight="1" x14ac:dyDescent="0.35">
      <c r="A40" s="286"/>
      <c r="B40" s="20">
        <v>2</v>
      </c>
      <c r="C40" s="14" t="s">
        <v>47</v>
      </c>
      <c r="D40" s="25" t="s">
        <v>1059</v>
      </c>
      <c r="E40" s="15" t="s">
        <v>1060</v>
      </c>
      <c r="F40" s="14"/>
      <c r="G40" s="14"/>
      <c r="H40" s="23"/>
      <c r="I40" s="14"/>
      <c r="J40" s="14"/>
      <c r="K40" s="17"/>
    </row>
    <row r="41" spans="1:11" ht="29" x14ac:dyDescent="0.35">
      <c r="A41" s="286"/>
      <c r="B41" s="38">
        <v>3</v>
      </c>
      <c r="C41" s="14" t="s">
        <v>89</v>
      </c>
      <c r="D41" s="14" t="s">
        <v>97</v>
      </c>
      <c r="E41" s="15" t="s">
        <v>1061</v>
      </c>
      <c r="F41" s="14" t="s">
        <v>18</v>
      </c>
      <c r="G41" s="39" t="s">
        <v>145</v>
      </c>
      <c r="H41" s="47"/>
      <c r="I41" s="47"/>
      <c r="J41" s="14"/>
      <c r="K41" s="17"/>
    </row>
    <row r="42" spans="1:11" ht="55" customHeight="1" x14ac:dyDescent="0.35">
      <c r="A42" s="286"/>
      <c r="B42" s="19">
        <v>4</v>
      </c>
      <c r="C42" s="5" t="s">
        <v>89</v>
      </c>
      <c r="D42" s="5" t="s">
        <v>37</v>
      </c>
      <c r="E42" s="6" t="s">
        <v>1062</v>
      </c>
      <c r="F42" s="14" t="s">
        <v>18</v>
      </c>
      <c r="G42" s="5" t="s">
        <v>77</v>
      </c>
      <c r="H42" s="47"/>
      <c r="I42" s="47"/>
      <c r="J42" s="14"/>
      <c r="K42" s="56"/>
    </row>
    <row r="43" spans="1:11" ht="34.5" customHeight="1" x14ac:dyDescent="0.35">
      <c r="A43" s="286"/>
      <c r="B43" s="20">
        <v>5</v>
      </c>
      <c r="C43" s="5" t="s">
        <v>447</v>
      </c>
      <c r="D43" s="14" t="s">
        <v>97</v>
      </c>
      <c r="E43" s="15" t="s">
        <v>1063</v>
      </c>
      <c r="F43" s="14" t="s">
        <v>18</v>
      </c>
      <c r="G43" s="14" t="s">
        <v>112</v>
      </c>
      <c r="H43" s="55"/>
      <c r="I43" s="14"/>
      <c r="J43" s="14"/>
      <c r="K43" s="15"/>
    </row>
    <row r="44" spans="1:11" ht="43.5" x14ac:dyDescent="0.35">
      <c r="A44" s="286"/>
      <c r="B44" s="19">
        <v>6</v>
      </c>
      <c r="C44" s="5" t="s">
        <v>29</v>
      </c>
      <c r="D44" s="5" t="s">
        <v>50</v>
      </c>
      <c r="E44" s="6" t="s">
        <v>1064</v>
      </c>
      <c r="F44" s="14" t="s">
        <v>18</v>
      </c>
      <c r="G44" s="5" t="s">
        <v>138</v>
      </c>
      <c r="H44" s="23"/>
      <c r="I44" s="5"/>
      <c r="J44" s="5"/>
      <c r="K44" s="6" t="s">
        <v>1065</v>
      </c>
    </row>
    <row r="45" spans="1:11" ht="34.5" customHeight="1" x14ac:dyDescent="0.35">
      <c r="A45" s="287"/>
      <c r="B45" s="19">
        <v>7</v>
      </c>
      <c r="C45" s="5" t="s">
        <v>52</v>
      </c>
      <c r="D45" s="5" t="s">
        <v>37</v>
      </c>
      <c r="E45" s="6" t="s">
        <v>1066</v>
      </c>
      <c r="F45" s="5"/>
      <c r="G45" s="5"/>
      <c r="H45" s="23"/>
      <c r="I45" s="5"/>
      <c r="J45" s="5"/>
      <c r="K45" s="6"/>
    </row>
    <row r="46" spans="1:11" ht="22" customHeight="1" x14ac:dyDescent="0.35">
      <c r="A46" s="127">
        <v>45643</v>
      </c>
      <c r="B46" s="306">
        <v>1</v>
      </c>
      <c r="C46" s="297" t="s">
        <v>89</v>
      </c>
      <c r="D46" s="297" t="s">
        <v>42</v>
      </c>
      <c r="E46" s="309" t="s">
        <v>1067</v>
      </c>
      <c r="F46" s="297"/>
      <c r="G46" s="297"/>
      <c r="H46" s="21"/>
      <c r="I46" s="14"/>
      <c r="J46" s="14"/>
      <c r="K46" s="297"/>
    </row>
    <row r="47" spans="1:11" ht="22" customHeight="1" x14ac:dyDescent="0.35">
      <c r="A47" s="26"/>
      <c r="B47" s="308"/>
      <c r="C47" s="298"/>
      <c r="D47" s="298"/>
      <c r="E47" s="310"/>
      <c r="F47" s="298"/>
      <c r="G47" s="298"/>
      <c r="H47" s="22"/>
      <c r="I47" s="14"/>
      <c r="J47" s="14"/>
      <c r="K47" s="298"/>
    </row>
    <row r="48" spans="1:11" ht="39" customHeight="1" x14ac:dyDescent="0.35">
      <c r="A48" s="26"/>
      <c r="B48" s="20">
        <v>2</v>
      </c>
      <c r="C48" s="14" t="s">
        <v>447</v>
      </c>
      <c r="D48" s="14" t="s">
        <v>915</v>
      </c>
      <c r="E48" s="15" t="s">
        <v>1071</v>
      </c>
      <c r="F48" s="14"/>
      <c r="G48" s="14"/>
      <c r="H48" s="22"/>
      <c r="I48" s="14"/>
      <c r="J48" s="14"/>
      <c r="K48" s="14"/>
    </row>
    <row r="49" spans="1:11" ht="35.5" customHeight="1" x14ac:dyDescent="0.35">
      <c r="A49" s="26"/>
      <c r="B49" s="20">
        <v>3</v>
      </c>
      <c r="C49" s="14" t="s">
        <v>52</v>
      </c>
      <c r="D49" s="25" t="s">
        <v>92</v>
      </c>
      <c r="E49" s="15" t="s">
        <v>1070</v>
      </c>
      <c r="F49" s="14" t="s">
        <v>43</v>
      </c>
      <c r="G49" s="14" t="s">
        <v>313</v>
      </c>
      <c r="H49" s="23"/>
      <c r="I49" s="14"/>
      <c r="J49" s="14"/>
      <c r="K49" s="14"/>
    </row>
    <row r="50" spans="1:11" ht="35.5" customHeight="1" x14ac:dyDescent="0.35">
      <c r="A50" s="299"/>
      <c r="B50" s="19">
        <v>4</v>
      </c>
      <c r="C50" s="5" t="s">
        <v>24</v>
      </c>
      <c r="D50" s="5" t="s">
        <v>8</v>
      </c>
      <c r="E50" s="6" t="s">
        <v>1068</v>
      </c>
      <c r="F50" s="5" t="s">
        <v>11</v>
      </c>
      <c r="G50" s="5" t="s">
        <v>941</v>
      </c>
      <c r="H50" s="23"/>
      <c r="I50" s="5"/>
      <c r="J50" s="5"/>
      <c r="K50" s="5"/>
    </row>
    <row r="51" spans="1:11" ht="36.5" customHeight="1" x14ac:dyDescent="0.35">
      <c r="A51" s="299"/>
      <c r="B51" s="19">
        <v>5</v>
      </c>
      <c r="C51" s="5" t="s">
        <v>52</v>
      </c>
      <c r="D51" s="5" t="s">
        <v>81</v>
      </c>
      <c r="E51" s="6" t="s">
        <v>1069</v>
      </c>
      <c r="F51" s="5" t="s">
        <v>18</v>
      </c>
      <c r="G51" s="5" t="s">
        <v>75</v>
      </c>
      <c r="H51" s="47"/>
      <c r="I51" s="14"/>
      <c r="J51" s="14"/>
      <c r="K51" s="5"/>
    </row>
    <row r="52" spans="1:11" ht="58" x14ac:dyDescent="0.35">
      <c r="A52" s="127">
        <v>45644</v>
      </c>
      <c r="B52" s="20">
        <v>1</v>
      </c>
      <c r="C52" s="14" t="s">
        <v>89</v>
      </c>
      <c r="D52" s="14" t="s">
        <v>80</v>
      </c>
      <c r="E52" s="15" t="s">
        <v>1072</v>
      </c>
      <c r="F52" s="14"/>
      <c r="G52" s="14"/>
      <c r="H52" s="55"/>
      <c r="I52" s="14"/>
      <c r="J52" s="14"/>
      <c r="K52" s="17"/>
    </row>
    <row r="53" spans="1:11" ht="43.5" x14ac:dyDescent="0.35">
      <c r="A53" s="36"/>
      <c r="B53" s="20">
        <v>2</v>
      </c>
      <c r="C53" s="14" t="s">
        <v>52</v>
      </c>
      <c r="D53" s="14" t="s">
        <v>1073</v>
      </c>
      <c r="E53" s="15" t="s">
        <v>1074</v>
      </c>
      <c r="F53" s="5"/>
      <c r="G53" s="14"/>
      <c r="H53" s="23"/>
      <c r="I53" s="14"/>
      <c r="J53" s="14"/>
      <c r="K53" s="15"/>
    </row>
    <row r="54" spans="1:11" ht="51" customHeight="1" x14ac:dyDescent="0.35">
      <c r="A54" s="36"/>
      <c r="B54" s="20">
        <v>3</v>
      </c>
      <c r="C54" s="14" t="s">
        <v>188</v>
      </c>
      <c r="D54" s="14" t="s">
        <v>8</v>
      </c>
      <c r="E54" s="15" t="s">
        <v>1075</v>
      </c>
      <c r="F54" s="14" t="s">
        <v>11</v>
      </c>
      <c r="G54" s="25" t="s">
        <v>941</v>
      </c>
      <c r="H54" s="23"/>
      <c r="I54" s="14"/>
      <c r="J54" s="14"/>
      <c r="K54" s="15"/>
    </row>
    <row r="55" spans="1:11" ht="37" customHeight="1" x14ac:dyDescent="0.35">
      <c r="A55" s="36"/>
      <c r="B55" s="19">
        <v>4</v>
      </c>
      <c r="C55" s="5" t="s">
        <v>52</v>
      </c>
      <c r="D55" s="33" t="s">
        <v>915</v>
      </c>
      <c r="E55" s="58" t="s">
        <v>1076</v>
      </c>
      <c r="F55" s="24" t="s">
        <v>197</v>
      </c>
      <c r="G55" s="5"/>
      <c r="H55" s="21"/>
      <c r="I55" s="5"/>
      <c r="J55" s="5"/>
      <c r="K55" s="9"/>
    </row>
    <row r="56" spans="1:11" ht="59.5" customHeight="1" x14ac:dyDescent="0.35">
      <c r="A56" s="285">
        <v>45645</v>
      </c>
      <c r="B56" s="20">
        <v>1</v>
      </c>
      <c r="C56" s="14" t="s">
        <v>29</v>
      </c>
      <c r="D56" s="25" t="s">
        <v>1077</v>
      </c>
      <c r="E56" s="15" t="s">
        <v>1079</v>
      </c>
      <c r="F56" s="14" t="s">
        <v>1078</v>
      </c>
      <c r="G56" s="14" t="s">
        <v>829</v>
      </c>
      <c r="H56" s="55"/>
      <c r="I56" s="14"/>
      <c r="J56" s="14"/>
      <c r="K56" s="17"/>
    </row>
    <row r="57" spans="1:11" ht="43.5" x14ac:dyDescent="0.35">
      <c r="A57" s="286"/>
      <c r="B57" s="20">
        <v>2</v>
      </c>
      <c r="C57" s="14" t="s">
        <v>24</v>
      </c>
      <c r="D57" s="25" t="s">
        <v>915</v>
      </c>
      <c r="E57" s="15" t="s">
        <v>1080</v>
      </c>
      <c r="F57" s="5" t="s">
        <v>554</v>
      </c>
      <c r="G57" s="14"/>
      <c r="H57" s="23"/>
      <c r="I57" s="14"/>
      <c r="J57" s="14"/>
      <c r="K57" s="15"/>
    </row>
    <row r="58" spans="1:11" ht="24.5" customHeight="1" x14ac:dyDescent="0.35">
      <c r="A58" s="286"/>
      <c r="B58" s="20">
        <v>3</v>
      </c>
      <c r="C58" s="14" t="s">
        <v>89</v>
      </c>
      <c r="D58" s="14" t="s">
        <v>37</v>
      </c>
      <c r="E58" s="15" t="s">
        <v>1081</v>
      </c>
      <c r="F58" s="39" t="s">
        <v>18</v>
      </c>
      <c r="G58" s="14" t="s">
        <v>77</v>
      </c>
      <c r="H58" s="23"/>
      <c r="I58" s="14"/>
      <c r="J58" s="14"/>
      <c r="K58" s="17"/>
    </row>
    <row r="59" spans="1:11" ht="34" customHeight="1" x14ac:dyDescent="0.35">
      <c r="A59" s="286"/>
      <c r="B59" s="38">
        <v>4</v>
      </c>
      <c r="C59" s="39" t="s">
        <v>52</v>
      </c>
      <c r="D59" s="39" t="s">
        <v>1082</v>
      </c>
      <c r="E59" s="40" t="s">
        <v>1083</v>
      </c>
      <c r="F59" s="39" t="s">
        <v>18</v>
      </c>
      <c r="G59" s="41" t="s">
        <v>11</v>
      </c>
      <c r="H59" s="47"/>
      <c r="I59" s="47"/>
      <c r="J59" s="14"/>
      <c r="K59" s="45"/>
    </row>
    <row r="60" spans="1:11" ht="31.5" customHeight="1" x14ac:dyDescent="0.35">
      <c r="A60" s="286"/>
      <c r="B60" s="19">
        <v>5</v>
      </c>
      <c r="C60" s="39" t="s">
        <v>52</v>
      </c>
      <c r="D60" s="39" t="s">
        <v>37</v>
      </c>
      <c r="E60" s="6" t="s">
        <v>1084</v>
      </c>
      <c r="F60" s="39" t="s">
        <v>18</v>
      </c>
      <c r="G60" s="33" t="s">
        <v>75</v>
      </c>
      <c r="H60" s="47"/>
      <c r="I60" s="14"/>
      <c r="J60" s="14"/>
      <c r="K60" s="24"/>
    </row>
    <row r="61" spans="1:11" ht="43.5" x14ac:dyDescent="0.35">
      <c r="A61" s="287"/>
      <c r="B61" s="19">
        <v>6</v>
      </c>
      <c r="C61" s="39" t="s">
        <v>52</v>
      </c>
      <c r="D61" s="5" t="s">
        <v>78</v>
      </c>
      <c r="E61" s="62" t="s">
        <v>1085</v>
      </c>
      <c r="F61" s="39" t="s">
        <v>18</v>
      </c>
      <c r="G61" s="33" t="s">
        <v>93</v>
      </c>
      <c r="H61" s="47"/>
      <c r="I61" s="14"/>
      <c r="J61" s="14"/>
      <c r="K61" s="24"/>
    </row>
    <row r="62" spans="1:11" ht="36" customHeight="1" x14ac:dyDescent="0.35">
      <c r="A62" s="285">
        <v>45646</v>
      </c>
      <c r="B62" s="19">
        <v>1</v>
      </c>
      <c r="C62" s="5" t="s">
        <v>29</v>
      </c>
      <c r="D62" s="5" t="s">
        <v>872</v>
      </c>
      <c r="E62" s="6" t="s">
        <v>1086</v>
      </c>
      <c r="F62" s="5"/>
      <c r="G62" s="33"/>
      <c r="H62" s="21"/>
      <c r="I62" s="14"/>
      <c r="J62" s="14"/>
      <c r="K62" s="24"/>
    </row>
    <row r="63" spans="1:11" ht="36.5" customHeight="1" x14ac:dyDescent="0.35">
      <c r="A63" s="286"/>
      <c r="B63" s="20">
        <v>2</v>
      </c>
      <c r="C63" s="14" t="s">
        <v>447</v>
      </c>
      <c r="D63" s="14" t="s">
        <v>968</v>
      </c>
      <c r="E63" s="15" t="s">
        <v>1050</v>
      </c>
      <c r="F63" s="39" t="s">
        <v>18</v>
      </c>
      <c r="G63" s="14" t="s">
        <v>1087</v>
      </c>
      <c r="H63" s="23"/>
      <c r="I63" s="14"/>
      <c r="J63" s="14"/>
      <c r="K63" s="61"/>
    </row>
    <row r="64" spans="1:11" ht="43.5" x14ac:dyDescent="0.35">
      <c r="A64" s="286"/>
      <c r="B64" s="20">
        <v>3</v>
      </c>
      <c r="C64" s="14" t="s">
        <v>52</v>
      </c>
      <c r="D64" s="14" t="s">
        <v>81</v>
      </c>
      <c r="E64" s="62" t="s">
        <v>1089</v>
      </c>
      <c r="F64" s="5" t="s">
        <v>18</v>
      </c>
      <c r="G64" s="33" t="s">
        <v>75</v>
      </c>
      <c r="H64" s="23"/>
      <c r="I64" s="14"/>
      <c r="J64" s="14"/>
      <c r="K64" s="61"/>
    </row>
    <row r="65" spans="1:11" ht="43.5" x14ac:dyDescent="0.35">
      <c r="A65" s="286"/>
      <c r="B65" s="20">
        <v>4</v>
      </c>
      <c r="C65" s="14" t="s">
        <v>89</v>
      </c>
      <c r="D65" s="14" t="s">
        <v>14</v>
      </c>
      <c r="E65" s="15" t="s">
        <v>1088</v>
      </c>
      <c r="F65" s="14" t="s">
        <v>11</v>
      </c>
      <c r="G65" s="25" t="s">
        <v>144</v>
      </c>
      <c r="H65" s="23"/>
      <c r="I65" s="14"/>
      <c r="J65" s="14"/>
      <c r="K65" s="61"/>
    </row>
    <row r="66" spans="1:11" ht="72.5" x14ac:dyDescent="0.35">
      <c r="A66" s="286"/>
      <c r="B66" s="20">
        <v>5</v>
      </c>
      <c r="C66" s="14" t="s">
        <v>29</v>
      </c>
      <c r="D66" s="25" t="s">
        <v>1090</v>
      </c>
      <c r="E66" s="62" t="s">
        <v>1091</v>
      </c>
      <c r="F66" s="5" t="s">
        <v>18</v>
      </c>
      <c r="G66" s="33" t="s">
        <v>138</v>
      </c>
      <c r="H66" s="23"/>
      <c r="I66" s="14"/>
      <c r="J66" s="14"/>
      <c r="K66" s="61"/>
    </row>
    <row r="67" spans="1:11" s="3" customFormat="1" ht="21.5" customHeight="1" x14ac:dyDescent="0.35">
      <c r="A67" s="288" t="s">
        <v>53</v>
      </c>
      <c r="B67" s="288"/>
      <c r="C67" s="288"/>
      <c r="D67" s="288"/>
      <c r="E67" s="288"/>
      <c r="F67" s="288"/>
      <c r="G67" s="288"/>
      <c r="H67" s="288"/>
      <c r="I67" s="289"/>
      <c r="J67" s="289"/>
      <c r="K67" s="290"/>
    </row>
    <row r="68" spans="1:11" ht="72.5" x14ac:dyDescent="0.35">
      <c r="A68" s="285">
        <v>45649</v>
      </c>
      <c r="B68" s="20">
        <v>1</v>
      </c>
      <c r="C68" s="14"/>
      <c r="D68" s="14"/>
      <c r="E68" s="15" t="s">
        <v>1092</v>
      </c>
      <c r="F68" s="5"/>
      <c r="G68" s="14"/>
      <c r="H68" s="23"/>
      <c r="I68" s="14"/>
      <c r="J68" s="14"/>
      <c r="K68" s="17"/>
    </row>
    <row r="69" spans="1:11" ht="33.5" customHeight="1" x14ac:dyDescent="0.35">
      <c r="A69" s="286"/>
      <c r="B69" s="20">
        <v>2</v>
      </c>
      <c r="C69" s="25" t="s">
        <v>1094</v>
      </c>
      <c r="D69" s="14" t="s">
        <v>75</v>
      </c>
      <c r="E69" s="15" t="s">
        <v>1095</v>
      </c>
      <c r="F69" s="5"/>
      <c r="G69" s="14"/>
      <c r="H69" s="23"/>
      <c r="I69" s="14"/>
      <c r="J69" s="14"/>
      <c r="K69" s="17"/>
    </row>
    <row r="70" spans="1:11" ht="43.5" x14ac:dyDescent="0.35">
      <c r="A70" s="286"/>
      <c r="B70" s="19">
        <v>3</v>
      </c>
      <c r="C70" s="14" t="s">
        <v>52</v>
      </c>
      <c r="D70" s="5" t="s">
        <v>8</v>
      </c>
      <c r="E70" s="6" t="s">
        <v>1093</v>
      </c>
      <c r="F70" s="5" t="s">
        <v>11</v>
      </c>
      <c r="G70" s="5" t="s">
        <v>31</v>
      </c>
      <c r="H70" s="47"/>
      <c r="I70" s="14"/>
      <c r="J70" s="14"/>
      <c r="K70" s="24"/>
    </row>
    <row r="71" spans="1:11" ht="33" customHeight="1" x14ac:dyDescent="0.35">
      <c r="A71" s="286"/>
      <c r="B71" s="20">
        <v>4</v>
      </c>
      <c r="C71" s="14" t="s">
        <v>447</v>
      </c>
      <c r="D71" s="5" t="s">
        <v>968</v>
      </c>
      <c r="E71" s="6" t="s">
        <v>1096</v>
      </c>
      <c r="F71" s="14" t="s">
        <v>1101</v>
      </c>
      <c r="G71" s="14" t="s">
        <v>18</v>
      </c>
      <c r="H71" s="23"/>
      <c r="I71" s="14"/>
      <c r="J71" s="14"/>
      <c r="K71" s="17"/>
    </row>
    <row r="72" spans="1:11" ht="43.5" x14ac:dyDescent="0.35">
      <c r="A72" s="287"/>
      <c r="B72" s="20">
        <v>5</v>
      </c>
      <c r="C72" s="14" t="s">
        <v>24</v>
      </c>
      <c r="D72" s="5" t="s">
        <v>14</v>
      </c>
      <c r="E72" s="6" t="s">
        <v>1097</v>
      </c>
      <c r="F72" s="14" t="s">
        <v>30</v>
      </c>
      <c r="G72" s="14" t="s">
        <v>1098</v>
      </c>
      <c r="H72" s="23"/>
      <c r="I72" s="14"/>
      <c r="J72" s="14"/>
      <c r="K72" s="17"/>
    </row>
    <row r="73" spans="1:11" ht="31.5" customHeight="1" x14ac:dyDescent="0.35">
      <c r="A73" s="285">
        <v>45650</v>
      </c>
      <c r="B73" s="20">
        <v>1</v>
      </c>
      <c r="C73" s="14" t="s">
        <v>29</v>
      </c>
      <c r="D73" s="25" t="s">
        <v>915</v>
      </c>
      <c r="E73" s="15" t="s">
        <v>1099</v>
      </c>
      <c r="F73" s="14" t="s">
        <v>1100</v>
      </c>
      <c r="G73" s="14"/>
      <c r="H73" s="23"/>
      <c r="I73" s="14"/>
      <c r="J73" s="14"/>
      <c r="K73" s="17"/>
    </row>
    <row r="74" spans="1:11" ht="32.5" customHeight="1" x14ac:dyDescent="0.35">
      <c r="A74" s="286"/>
      <c r="B74" s="20">
        <v>2</v>
      </c>
      <c r="C74" s="14" t="s">
        <v>447</v>
      </c>
      <c r="D74" s="5" t="s">
        <v>968</v>
      </c>
      <c r="E74" s="6" t="s">
        <v>1096</v>
      </c>
      <c r="F74" s="14" t="s">
        <v>18</v>
      </c>
      <c r="G74" s="14" t="s">
        <v>66</v>
      </c>
      <c r="H74" s="23"/>
      <c r="I74" s="14"/>
      <c r="J74" s="14"/>
      <c r="K74" s="14"/>
    </row>
    <row r="75" spans="1:11" ht="43.5" x14ac:dyDescent="0.35">
      <c r="A75" s="286"/>
      <c r="B75" s="20">
        <v>3</v>
      </c>
      <c r="C75" s="14" t="s">
        <v>52</v>
      </c>
      <c r="D75" s="14" t="s">
        <v>1082</v>
      </c>
      <c r="E75" s="15" t="s">
        <v>1102</v>
      </c>
      <c r="F75" s="14"/>
      <c r="G75" s="14"/>
      <c r="H75" s="23"/>
      <c r="I75" s="14"/>
      <c r="J75" s="14"/>
      <c r="K75" s="14"/>
    </row>
    <row r="76" spans="1:11" ht="35.5" customHeight="1" x14ac:dyDescent="0.35">
      <c r="A76" s="286"/>
      <c r="B76" s="20">
        <v>4</v>
      </c>
      <c r="C76" s="14" t="s">
        <v>24</v>
      </c>
      <c r="D76" s="14" t="s">
        <v>97</v>
      </c>
      <c r="E76" s="15" t="s">
        <v>1103</v>
      </c>
      <c r="F76" s="14" t="s">
        <v>18</v>
      </c>
      <c r="G76" s="14" t="s">
        <v>77</v>
      </c>
      <c r="H76" s="23"/>
      <c r="I76" s="14"/>
      <c r="J76" s="14"/>
      <c r="K76" s="17"/>
    </row>
    <row r="77" spans="1:11" ht="48" customHeight="1" x14ac:dyDescent="0.35">
      <c r="A77" s="286"/>
      <c r="B77" s="20">
        <v>5</v>
      </c>
      <c r="C77" s="14" t="s">
        <v>89</v>
      </c>
      <c r="D77" s="14" t="s">
        <v>14</v>
      </c>
      <c r="E77" s="6" t="s">
        <v>1104</v>
      </c>
      <c r="F77" s="14" t="s">
        <v>18</v>
      </c>
      <c r="G77" s="14" t="s">
        <v>41</v>
      </c>
      <c r="H77" s="23"/>
      <c r="I77" s="14"/>
      <c r="J77" s="14"/>
      <c r="K77" s="17"/>
    </row>
    <row r="78" spans="1:11" ht="29" x14ac:dyDescent="0.35">
      <c r="A78" s="286"/>
      <c r="B78" s="20">
        <v>6</v>
      </c>
      <c r="C78" s="14" t="s">
        <v>447</v>
      </c>
      <c r="D78" s="25" t="s">
        <v>97</v>
      </c>
      <c r="E78" s="15" t="s">
        <v>1058</v>
      </c>
      <c r="F78" s="14" t="s">
        <v>18</v>
      </c>
      <c r="G78" s="14" t="s">
        <v>1087</v>
      </c>
      <c r="H78" s="23"/>
      <c r="I78" s="14"/>
      <c r="J78" s="14"/>
      <c r="K78" s="17"/>
    </row>
    <row r="79" spans="1:11" ht="58" x14ac:dyDescent="0.35">
      <c r="A79" s="287"/>
      <c r="B79" s="19">
        <v>7</v>
      </c>
      <c r="C79" s="5" t="s">
        <v>89</v>
      </c>
      <c r="D79" s="5" t="s">
        <v>14</v>
      </c>
      <c r="E79" s="58" t="s">
        <v>1105</v>
      </c>
      <c r="F79" s="5" t="s">
        <v>938</v>
      </c>
      <c r="G79" s="5" t="s">
        <v>116</v>
      </c>
      <c r="H79" s="21"/>
      <c r="I79" s="5"/>
      <c r="J79" s="5"/>
      <c r="K79" s="56"/>
    </row>
    <row r="80" spans="1:11" ht="38.5" customHeight="1" x14ac:dyDescent="0.35">
      <c r="A80" s="80">
        <v>45653</v>
      </c>
      <c r="B80" s="20">
        <v>1</v>
      </c>
      <c r="C80" s="14" t="s">
        <v>447</v>
      </c>
      <c r="D80" s="25" t="s">
        <v>97</v>
      </c>
      <c r="E80" s="15" t="s">
        <v>1107</v>
      </c>
      <c r="F80" s="14" t="s">
        <v>18</v>
      </c>
      <c r="G80" s="14" t="s">
        <v>1106</v>
      </c>
      <c r="H80" s="55"/>
      <c r="I80" s="14"/>
      <c r="J80" s="14"/>
      <c r="K80" s="17"/>
    </row>
    <row r="81" spans="1:11" ht="15" customHeight="1" x14ac:dyDescent="0.35">
      <c r="A81" s="26"/>
      <c r="B81" s="306">
        <v>2</v>
      </c>
      <c r="C81" s="297" t="s">
        <v>52</v>
      </c>
      <c r="D81" s="297" t="s">
        <v>180</v>
      </c>
      <c r="E81" s="309" t="s">
        <v>1108</v>
      </c>
      <c r="F81" s="297"/>
      <c r="G81" s="297"/>
      <c r="H81" s="21"/>
      <c r="I81" s="14"/>
      <c r="J81" s="14"/>
      <c r="K81" s="17"/>
    </row>
    <row r="82" spans="1:11" ht="20.5" customHeight="1" x14ac:dyDescent="0.35">
      <c r="A82" s="65"/>
      <c r="B82" s="308"/>
      <c r="C82" s="298"/>
      <c r="D82" s="298"/>
      <c r="E82" s="310"/>
      <c r="F82" s="298"/>
      <c r="G82" s="298"/>
      <c r="H82" s="22"/>
      <c r="I82" s="14"/>
      <c r="J82" s="47"/>
      <c r="K82" s="14"/>
    </row>
    <row r="83" spans="1:11" ht="33" customHeight="1" x14ac:dyDescent="0.35">
      <c r="A83" s="36"/>
      <c r="B83" s="20">
        <v>3</v>
      </c>
      <c r="C83" s="14" t="s">
        <v>52</v>
      </c>
      <c r="D83" s="14" t="s">
        <v>1082</v>
      </c>
      <c r="E83" s="15" t="s">
        <v>1110</v>
      </c>
      <c r="F83" s="14"/>
      <c r="G83" s="14"/>
      <c r="H83" s="22"/>
      <c r="I83" s="14"/>
      <c r="J83" s="47"/>
      <c r="K83" s="14"/>
    </row>
    <row r="84" spans="1:11" ht="33" customHeight="1" x14ac:dyDescent="0.35">
      <c r="A84" s="36"/>
      <c r="B84" s="20">
        <v>4</v>
      </c>
      <c r="C84" s="14" t="s">
        <v>52</v>
      </c>
      <c r="D84" s="14" t="s">
        <v>1082</v>
      </c>
      <c r="E84" s="15" t="s">
        <v>1111</v>
      </c>
      <c r="F84" s="14" t="s">
        <v>18</v>
      </c>
      <c r="G84" s="14" t="s">
        <v>93</v>
      </c>
      <c r="H84" s="22"/>
      <c r="I84" s="14"/>
      <c r="J84" s="47"/>
      <c r="K84" s="14"/>
    </row>
    <row r="85" spans="1:11" ht="38" customHeight="1" x14ac:dyDescent="0.35">
      <c r="A85" s="36"/>
      <c r="B85" s="20">
        <v>5</v>
      </c>
      <c r="C85" s="14" t="s">
        <v>52</v>
      </c>
      <c r="D85" s="14" t="s">
        <v>37</v>
      </c>
      <c r="E85" s="15" t="s">
        <v>1113</v>
      </c>
      <c r="F85" s="14" t="s">
        <v>18</v>
      </c>
      <c r="G85" s="14" t="s">
        <v>75</v>
      </c>
      <c r="H85" s="22"/>
      <c r="I85" s="14"/>
      <c r="J85" s="47"/>
      <c r="K85" s="14"/>
    </row>
    <row r="86" spans="1:11" ht="38" customHeight="1" x14ac:dyDescent="0.35">
      <c r="A86" s="36"/>
      <c r="B86" s="20">
        <v>6</v>
      </c>
      <c r="C86" s="14" t="s">
        <v>24</v>
      </c>
      <c r="D86" s="14" t="s">
        <v>97</v>
      </c>
      <c r="E86" s="15" t="s">
        <v>1114</v>
      </c>
      <c r="F86" s="14" t="s">
        <v>18</v>
      </c>
      <c r="G86" s="5" t="s">
        <v>77</v>
      </c>
      <c r="H86" s="22"/>
      <c r="I86" s="14"/>
      <c r="J86" s="47"/>
      <c r="K86" s="14"/>
    </row>
    <row r="87" spans="1:11" ht="28" customHeight="1" x14ac:dyDescent="0.35">
      <c r="A87" s="36"/>
      <c r="B87" s="20">
        <v>7</v>
      </c>
      <c r="C87" s="14" t="s">
        <v>49</v>
      </c>
      <c r="D87" s="14" t="s">
        <v>67</v>
      </c>
      <c r="E87" s="15" t="s">
        <v>1115</v>
      </c>
      <c r="F87" s="14" t="s">
        <v>18</v>
      </c>
      <c r="G87" s="5" t="s">
        <v>77</v>
      </c>
      <c r="H87" s="22"/>
      <c r="I87" s="14"/>
      <c r="J87" s="47"/>
      <c r="K87" s="14"/>
    </row>
    <row r="88" spans="1:11" ht="43.5" x14ac:dyDescent="0.35">
      <c r="A88" s="285">
        <v>45656</v>
      </c>
      <c r="B88" s="20">
        <v>1</v>
      </c>
      <c r="C88" s="14" t="s">
        <v>49</v>
      </c>
      <c r="D88" s="14" t="s">
        <v>139</v>
      </c>
      <c r="E88" s="66" t="s">
        <v>1109</v>
      </c>
      <c r="F88" s="14" t="s">
        <v>923</v>
      </c>
      <c r="G88" s="14"/>
      <c r="H88" s="23"/>
      <c r="I88" s="14"/>
      <c r="J88" s="23"/>
      <c r="K88" s="14"/>
    </row>
    <row r="89" spans="1:11" ht="27" customHeight="1" x14ac:dyDescent="0.35">
      <c r="A89" s="286"/>
      <c r="B89" s="19">
        <v>2</v>
      </c>
      <c r="C89" s="14" t="s">
        <v>89</v>
      </c>
      <c r="D89" s="14" t="s">
        <v>37</v>
      </c>
      <c r="E89" s="58" t="s">
        <v>1112</v>
      </c>
      <c r="F89" s="14" t="s">
        <v>18</v>
      </c>
      <c r="G89" s="5" t="s">
        <v>77</v>
      </c>
      <c r="H89" s="47"/>
      <c r="I89" s="14"/>
      <c r="J89" s="64"/>
      <c r="K89" s="14"/>
    </row>
    <row r="90" spans="1:11" ht="43.5" x14ac:dyDescent="0.35">
      <c r="A90" s="286"/>
      <c r="B90" s="20">
        <v>3</v>
      </c>
      <c r="C90" s="14" t="s">
        <v>24</v>
      </c>
      <c r="D90" s="14" t="s">
        <v>14</v>
      </c>
      <c r="E90" s="66" t="s">
        <v>1116</v>
      </c>
      <c r="F90" s="14" t="s">
        <v>30</v>
      </c>
      <c r="G90" s="14" t="s">
        <v>548</v>
      </c>
      <c r="H90" s="23"/>
      <c r="I90" s="14"/>
      <c r="J90" s="14"/>
      <c r="K90" s="14"/>
    </row>
    <row r="91" spans="1:11" ht="39" customHeight="1" x14ac:dyDescent="0.35">
      <c r="A91" s="286"/>
      <c r="B91" s="19">
        <v>4</v>
      </c>
      <c r="C91" s="14" t="s">
        <v>447</v>
      </c>
      <c r="D91" s="5" t="s">
        <v>968</v>
      </c>
      <c r="E91" s="6" t="s">
        <v>1117</v>
      </c>
      <c r="F91" s="14" t="s">
        <v>18</v>
      </c>
      <c r="G91" s="14" t="s">
        <v>130</v>
      </c>
      <c r="H91" s="47"/>
      <c r="I91" s="14"/>
      <c r="J91" s="14"/>
      <c r="K91" s="14"/>
    </row>
    <row r="92" spans="1:11" ht="37" customHeight="1" x14ac:dyDescent="0.35">
      <c r="A92" s="286"/>
      <c r="B92" s="20">
        <v>5</v>
      </c>
      <c r="C92" s="14" t="s">
        <v>447</v>
      </c>
      <c r="D92" s="25" t="s">
        <v>97</v>
      </c>
      <c r="E92" s="66" t="s">
        <v>1063</v>
      </c>
      <c r="F92" s="14" t="s">
        <v>18</v>
      </c>
      <c r="G92" s="25" t="s">
        <v>1118</v>
      </c>
      <c r="H92" s="23"/>
      <c r="I92" s="14"/>
      <c r="J92" s="14"/>
      <c r="K92" s="14"/>
    </row>
    <row r="93" spans="1:11" ht="33.5" customHeight="1" x14ac:dyDescent="0.35">
      <c r="A93" s="286"/>
      <c r="B93" s="20">
        <v>6</v>
      </c>
      <c r="C93" s="14" t="s">
        <v>52</v>
      </c>
      <c r="D93" s="25" t="s">
        <v>37</v>
      </c>
      <c r="E93" s="15" t="s">
        <v>1119</v>
      </c>
      <c r="F93" s="14" t="s">
        <v>18</v>
      </c>
      <c r="G93" s="14" t="s">
        <v>75</v>
      </c>
      <c r="H93" s="23"/>
      <c r="I93" s="14"/>
      <c r="J93" s="14"/>
      <c r="K93" s="17"/>
    </row>
    <row r="94" spans="1:11" ht="46" customHeight="1" x14ac:dyDescent="0.35">
      <c r="A94" s="286"/>
      <c r="B94" s="20">
        <v>7</v>
      </c>
      <c r="C94" s="14" t="s">
        <v>52</v>
      </c>
      <c r="D94" s="25" t="s">
        <v>955</v>
      </c>
      <c r="E94" s="15" t="s">
        <v>1120</v>
      </c>
      <c r="F94" s="14"/>
      <c r="G94" s="14"/>
      <c r="H94" s="23"/>
      <c r="I94" s="14"/>
      <c r="J94" s="14"/>
      <c r="K94" s="17"/>
    </row>
    <row r="95" spans="1:11" ht="33.5" customHeight="1" x14ac:dyDescent="0.35">
      <c r="A95" s="287"/>
      <c r="B95" s="20">
        <v>8</v>
      </c>
      <c r="C95" s="14" t="s">
        <v>89</v>
      </c>
      <c r="D95" s="25" t="s">
        <v>97</v>
      </c>
      <c r="E95" s="15" t="s">
        <v>1121</v>
      </c>
      <c r="F95" s="14" t="s">
        <v>18</v>
      </c>
      <c r="G95" s="14" t="s">
        <v>112</v>
      </c>
      <c r="H95" s="23"/>
      <c r="I95" s="14"/>
      <c r="J95" s="14"/>
      <c r="K95" s="17"/>
    </row>
    <row r="96" spans="1:11" ht="33.5" customHeight="1" x14ac:dyDescent="0.35">
      <c r="A96" s="26">
        <v>45657</v>
      </c>
      <c r="B96" s="20">
        <v>1</v>
      </c>
      <c r="C96" s="14" t="s">
        <v>447</v>
      </c>
      <c r="D96" s="25" t="s">
        <v>968</v>
      </c>
      <c r="E96" s="15" t="s">
        <v>1122</v>
      </c>
      <c r="F96" s="14" t="s">
        <v>130</v>
      </c>
      <c r="G96" s="14" t="s">
        <v>18</v>
      </c>
      <c r="H96" s="23"/>
      <c r="I96" s="14"/>
      <c r="J96" s="14"/>
      <c r="K96" s="17"/>
    </row>
    <row r="97" spans="1:11" ht="33.5" customHeight="1" x14ac:dyDescent="0.35">
      <c r="A97" s="26"/>
      <c r="B97" s="20">
        <v>2</v>
      </c>
      <c r="C97" s="14" t="s">
        <v>89</v>
      </c>
      <c r="D97" s="25" t="s">
        <v>97</v>
      </c>
      <c r="E97" s="15" t="s">
        <v>1061</v>
      </c>
      <c r="F97" s="14" t="s">
        <v>112</v>
      </c>
      <c r="G97" s="14" t="s">
        <v>18</v>
      </c>
      <c r="H97" s="23"/>
      <c r="I97" s="14"/>
      <c r="J97" s="14"/>
      <c r="K97" s="17" t="s">
        <v>1123</v>
      </c>
    </row>
    <row r="98" spans="1:11" ht="33.5" customHeight="1" x14ac:dyDescent="0.35">
      <c r="A98" s="26"/>
      <c r="B98" s="20">
        <v>3</v>
      </c>
      <c r="C98" s="14" t="s">
        <v>24</v>
      </c>
      <c r="D98" s="25" t="s">
        <v>97</v>
      </c>
      <c r="E98" s="15" t="s">
        <v>1103</v>
      </c>
      <c r="F98" s="14" t="s">
        <v>77</v>
      </c>
      <c r="G98" s="14" t="s">
        <v>18</v>
      </c>
      <c r="H98" s="23"/>
      <c r="I98" s="14"/>
      <c r="J98" s="14"/>
      <c r="K98" s="17" t="s">
        <v>1124</v>
      </c>
    </row>
    <row r="99" spans="1:11" ht="33.5" customHeight="1" x14ac:dyDescent="0.35">
      <c r="A99" s="26"/>
      <c r="B99" s="20">
        <v>4</v>
      </c>
      <c r="C99" s="14" t="s">
        <v>447</v>
      </c>
      <c r="D99" s="25" t="s">
        <v>97</v>
      </c>
      <c r="E99" s="15" t="s">
        <v>1058</v>
      </c>
      <c r="F99" s="14" t="s">
        <v>1118</v>
      </c>
      <c r="G99" s="14" t="s">
        <v>18</v>
      </c>
      <c r="H99" s="23"/>
      <c r="I99" s="14"/>
      <c r="J99" s="14"/>
      <c r="K99" s="17"/>
    </row>
    <row r="100" spans="1:11" ht="33.5" customHeight="1" x14ac:dyDescent="0.35">
      <c r="A100" s="26"/>
      <c r="B100" s="20">
        <v>5</v>
      </c>
      <c r="C100" s="14" t="s">
        <v>52</v>
      </c>
      <c r="D100" s="25" t="s">
        <v>37</v>
      </c>
      <c r="E100" s="15" t="s">
        <v>1125</v>
      </c>
      <c r="F100" s="14" t="s">
        <v>18</v>
      </c>
      <c r="G100" s="14" t="s">
        <v>75</v>
      </c>
      <c r="H100" s="23"/>
      <c r="I100" s="14"/>
      <c r="J100" s="14"/>
      <c r="K100" s="17"/>
    </row>
    <row r="101" spans="1:11" ht="33.5" customHeight="1" x14ac:dyDescent="0.35">
      <c r="A101" s="26"/>
      <c r="B101" s="20">
        <v>6</v>
      </c>
      <c r="C101" s="14" t="s">
        <v>52</v>
      </c>
      <c r="D101" s="25" t="s">
        <v>81</v>
      </c>
      <c r="E101" s="15" t="s">
        <v>1126</v>
      </c>
      <c r="F101" s="14" t="s">
        <v>18</v>
      </c>
      <c r="G101" s="14" t="s">
        <v>75</v>
      </c>
      <c r="H101" s="23"/>
      <c r="I101" s="14"/>
      <c r="J101" s="14"/>
      <c r="K101" s="17"/>
    </row>
    <row r="102" spans="1:11" ht="43.5" x14ac:dyDescent="0.35">
      <c r="A102" s="26"/>
      <c r="B102" s="20">
        <v>7</v>
      </c>
      <c r="C102" s="14" t="s">
        <v>24</v>
      </c>
      <c r="D102" s="25" t="s">
        <v>8</v>
      </c>
      <c r="E102" s="15" t="s">
        <v>1127</v>
      </c>
      <c r="F102" s="14" t="s">
        <v>380</v>
      </c>
      <c r="G102" s="14" t="s">
        <v>773</v>
      </c>
      <c r="H102" s="23"/>
      <c r="I102" s="14"/>
      <c r="J102" s="14"/>
      <c r="K102" s="17"/>
    </row>
    <row r="103" spans="1:11" ht="43.5" x14ac:dyDescent="0.35">
      <c r="A103" s="26"/>
      <c r="B103" s="20">
        <v>8</v>
      </c>
      <c r="C103" s="14" t="s">
        <v>447</v>
      </c>
      <c r="D103" s="25" t="s">
        <v>8</v>
      </c>
      <c r="E103" s="15" t="s">
        <v>1127</v>
      </c>
      <c r="F103" s="14" t="s">
        <v>380</v>
      </c>
      <c r="G103" s="14" t="s">
        <v>1128</v>
      </c>
      <c r="H103" s="23"/>
      <c r="I103" s="14"/>
      <c r="J103" s="14"/>
      <c r="K103" s="17"/>
    </row>
    <row r="104" spans="1:11" ht="43.5" x14ac:dyDescent="0.35">
      <c r="A104" s="26"/>
      <c r="B104" s="20">
        <v>9</v>
      </c>
      <c r="C104" s="14" t="s">
        <v>447</v>
      </c>
      <c r="D104" s="25" t="s">
        <v>8</v>
      </c>
      <c r="E104" s="15" t="s">
        <v>1129</v>
      </c>
      <c r="F104" s="14" t="s">
        <v>380</v>
      </c>
      <c r="G104" s="14" t="s">
        <v>1130</v>
      </c>
      <c r="H104" s="23"/>
      <c r="I104" s="14"/>
      <c r="J104" s="14"/>
      <c r="K104" s="17"/>
    </row>
    <row r="105" spans="1:11" ht="31.5" customHeight="1" x14ac:dyDescent="0.35">
      <c r="A105" s="26"/>
      <c r="B105" s="20">
        <v>10</v>
      </c>
      <c r="C105" s="14" t="s">
        <v>24</v>
      </c>
      <c r="D105" s="25" t="s">
        <v>67</v>
      </c>
      <c r="E105" s="15" t="s">
        <v>1131</v>
      </c>
      <c r="F105" s="14" t="s">
        <v>18</v>
      </c>
      <c r="G105" s="14" t="s">
        <v>77</v>
      </c>
      <c r="H105" s="23"/>
      <c r="I105" s="14"/>
      <c r="J105" s="14"/>
      <c r="K105" s="17"/>
    </row>
    <row r="106" spans="1:11" ht="61.5" customHeight="1" x14ac:dyDescent="0.35">
      <c r="A106" s="26"/>
      <c r="B106" s="20">
        <v>11</v>
      </c>
      <c r="C106" s="14" t="s">
        <v>447</v>
      </c>
      <c r="D106" s="25" t="s">
        <v>8</v>
      </c>
      <c r="E106" s="15" t="s">
        <v>1132</v>
      </c>
      <c r="F106" s="14" t="s">
        <v>380</v>
      </c>
      <c r="G106" s="14" t="s">
        <v>31</v>
      </c>
      <c r="H106" s="23"/>
      <c r="I106" s="14"/>
      <c r="J106" s="14"/>
      <c r="K106" s="17"/>
    </row>
    <row r="107" spans="1:11" ht="48.5" customHeight="1" x14ac:dyDescent="0.35">
      <c r="A107" s="26"/>
      <c r="B107" s="20">
        <v>12</v>
      </c>
      <c r="C107" s="14" t="s">
        <v>52</v>
      </c>
      <c r="D107" s="25" t="s">
        <v>8</v>
      </c>
      <c r="E107" s="15" t="s">
        <v>1133</v>
      </c>
      <c r="F107" s="14" t="s">
        <v>11</v>
      </c>
      <c r="G107" s="14" t="s">
        <v>32</v>
      </c>
      <c r="H107" s="23"/>
      <c r="I107" s="14"/>
      <c r="J107" s="14"/>
      <c r="K107" s="17"/>
    </row>
  </sheetData>
  <mergeCells count="40">
    <mergeCell ref="A88:A95"/>
    <mergeCell ref="B81:B82"/>
    <mergeCell ref="C81:C82"/>
    <mergeCell ref="D81:D82"/>
    <mergeCell ref="E81:E82"/>
    <mergeCell ref="F81:F82"/>
    <mergeCell ref="G81:G82"/>
    <mergeCell ref="A56:A61"/>
    <mergeCell ref="A62:A66"/>
    <mergeCell ref="A67:K67"/>
    <mergeCell ref="A68:A72"/>
    <mergeCell ref="A73:A79"/>
    <mergeCell ref="G46:G47"/>
    <mergeCell ref="K46:K47"/>
    <mergeCell ref="A50:A51"/>
    <mergeCell ref="D19:D21"/>
    <mergeCell ref="E19:E21"/>
    <mergeCell ref="B19:B21"/>
    <mergeCell ref="C19:C21"/>
    <mergeCell ref="B46:B47"/>
    <mergeCell ref="C46:C47"/>
    <mergeCell ref="D46:D47"/>
    <mergeCell ref="E46:E47"/>
    <mergeCell ref="F46:F47"/>
    <mergeCell ref="A38:K38"/>
    <mergeCell ref="A23:A25"/>
    <mergeCell ref="A27:A29"/>
    <mergeCell ref="A30:A33"/>
    <mergeCell ref="A39:A45"/>
    <mergeCell ref="A22:K22"/>
    <mergeCell ref="F5:F6"/>
    <mergeCell ref="G5:G6"/>
    <mergeCell ref="H5:J5"/>
    <mergeCell ref="K5:K6"/>
    <mergeCell ref="A7:K7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E35E3-1345-44E3-A4AF-6F6FBCCE70CD}">
  <sheetPr>
    <tabColor rgb="FFE7BFE7"/>
  </sheetPr>
  <dimension ref="B1:L97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8" sqref="B8"/>
    </sheetView>
  </sheetViews>
  <sheetFormatPr defaultRowHeight="14.5" x14ac:dyDescent="0.35"/>
  <cols>
    <col min="1" max="1" width="5" customWidth="1"/>
    <col min="2" max="2" width="28.36328125" bestFit="1" customWidth="1"/>
    <col min="3" max="3" width="5.08984375" customWidth="1"/>
    <col min="4" max="4" width="9.36328125" style="2" customWidth="1"/>
    <col min="5" max="5" width="13" style="2" bestFit="1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37.08984375" style="2" customWidth="1"/>
  </cols>
  <sheetData>
    <row r="1" spans="2:12" x14ac:dyDescent="0.35">
      <c r="B1" s="1" t="s">
        <v>2</v>
      </c>
      <c r="C1" s="18"/>
    </row>
    <row r="2" spans="2:12" x14ac:dyDescent="0.35">
      <c r="B2" s="1" t="s">
        <v>19</v>
      </c>
      <c r="C2" s="1"/>
    </row>
    <row r="3" spans="2:12" x14ac:dyDescent="0.35">
      <c r="B3" s="1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9"/>
      <c r="K7" s="289"/>
      <c r="L7" s="290"/>
    </row>
    <row r="8" spans="2:12" s="10" customFormat="1" ht="72.5" x14ac:dyDescent="0.35">
      <c r="B8" s="143">
        <v>45597</v>
      </c>
      <c r="C8" s="19">
        <v>1</v>
      </c>
      <c r="D8" s="5" t="s">
        <v>447</v>
      </c>
      <c r="E8" s="33" t="s">
        <v>48</v>
      </c>
      <c r="F8" s="124" t="s">
        <v>934</v>
      </c>
      <c r="G8" s="33" t="s">
        <v>736</v>
      </c>
      <c r="H8" s="239" t="s">
        <v>85</v>
      </c>
      <c r="I8" s="240"/>
      <c r="J8" s="8"/>
      <c r="K8" s="8"/>
      <c r="L8" s="124"/>
    </row>
    <row r="9" spans="2:12" s="10" customFormat="1" ht="38.5" customHeight="1" x14ac:dyDescent="0.35">
      <c r="B9" s="78" t="s">
        <v>86</v>
      </c>
      <c r="C9" s="88">
        <v>2</v>
      </c>
      <c r="D9" s="29" t="s">
        <v>52</v>
      </c>
      <c r="E9" s="89" t="s">
        <v>78</v>
      </c>
      <c r="F9" s="30" t="s">
        <v>935</v>
      </c>
      <c r="G9" s="33" t="s">
        <v>736</v>
      </c>
      <c r="H9" s="89" t="s">
        <v>936</v>
      </c>
      <c r="I9" s="90"/>
      <c r="J9" s="16"/>
      <c r="K9" s="8"/>
      <c r="L9" s="31"/>
    </row>
    <row r="10" spans="2:12" s="10" customFormat="1" ht="33" customHeight="1" x14ac:dyDescent="0.35">
      <c r="B10" s="78"/>
      <c r="C10" s="38">
        <v>3</v>
      </c>
      <c r="D10" s="39" t="s">
        <v>24</v>
      </c>
      <c r="E10" s="41" t="s">
        <v>866</v>
      </c>
      <c r="F10" s="40" t="s">
        <v>937</v>
      </c>
      <c r="G10" s="89" t="s">
        <v>54</v>
      </c>
      <c r="H10" s="41" t="s">
        <v>938</v>
      </c>
      <c r="I10" s="47"/>
      <c r="J10" s="83"/>
      <c r="K10" s="84"/>
      <c r="L10" s="45"/>
    </row>
    <row r="11" spans="2:12" s="10" customFormat="1" ht="33" customHeight="1" x14ac:dyDescent="0.35">
      <c r="B11" s="78"/>
      <c r="C11" s="38">
        <v>4</v>
      </c>
      <c r="D11" s="39" t="s">
        <v>52</v>
      </c>
      <c r="E11" s="41" t="s">
        <v>110</v>
      </c>
      <c r="F11" s="40" t="s">
        <v>922</v>
      </c>
      <c r="G11" s="33" t="s">
        <v>923</v>
      </c>
      <c r="H11" s="41"/>
      <c r="I11" s="47"/>
      <c r="J11" s="83"/>
      <c r="K11" s="8"/>
      <c r="L11" s="45"/>
    </row>
    <row r="12" spans="2:12" s="10" customFormat="1" ht="72.5" x14ac:dyDescent="0.35">
      <c r="B12" s="79"/>
      <c r="C12" s="38">
        <v>5</v>
      </c>
      <c r="D12" s="39" t="s">
        <v>24</v>
      </c>
      <c r="E12" s="41" t="s">
        <v>8</v>
      </c>
      <c r="F12" s="40" t="s">
        <v>939</v>
      </c>
      <c r="G12" s="33" t="s">
        <v>940</v>
      </c>
      <c r="H12" s="41" t="s">
        <v>941</v>
      </c>
      <c r="I12" s="47"/>
      <c r="J12" s="83"/>
      <c r="K12" s="8"/>
      <c r="L12" s="45"/>
    </row>
    <row r="13" spans="2:12" s="10" customFormat="1" ht="33" customHeight="1" x14ac:dyDescent="0.35">
      <c r="B13" s="143">
        <v>45600</v>
      </c>
      <c r="C13" s="38">
        <v>1</v>
      </c>
      <c r="D13" s="39" t="s">
        <v>52</v>
      </c>
      <c r="E13" s="41" t="s">
        <v>665</v>
      </c>
      <c r="F13" s="40" t="s">
        <v>942</v>
      </c>
      <c r="G13" s="33"/>
      <c r="H13" s="41"/>
      <c r="I13" s="47"/>
      <c r="J13" s="83"/>
      <c r="K13" s="8"/>
      <c r="L13" s="45"/>
    </row>
    <row r="14" spans="2:12" s="10" customFormat="1" ht="29" x14ac:dyDescent="0.35">
      <c r="B14" s="78"/>
      <c r="C14" s="19">
        <v>2</v>
      </c>
      <c r="D14" s="5" t="s">
        <v>483</v>
      </c>
      <c r="E14" s="5" t="s">
        <v>878</v>
      </c>
      <c r="F14" s="6" t="s">
        <v>920</v>
      </c>
      <c r="G14" s="33"/>
      <c r="H14" s="33"/>
      <c r="I14" s="7"/>
      <c r="J14" s="8"/>
      <c r="K14" s="8"/>
      <c r="L14" s="45"/>
    </row>
    <row r="15" spans="2:12" s="10" customFormat="1" ht="34" customHeight="1" x14ac:dyDescent="0.35">
      <c r="B15" s="78"/>
      <c r="C15" s="19">
        <v>3</v>
      </c>
      <c r="D15" s="5" t="s">
        <v>52</v>
      </c>
      <c r="E15" s="5" t="s">
        <v>37</v>
      </c>
      <c r="F15" s="6" t="s">
        <v>943</v>
      </c>
      <c r="G15" s="33"/>
      <c r="H15" s="33"/>
      <c r="I15" s="7"/>
      <c r="J15" s="8"/>
      <c r="K15" s="8"/>
      <c r="L15" s="9"/>
    </row>
    <row r="16" spans="2:12" s="10" customFormat="1" ht="34" customHeight="1" x14ac:dyDescent="0.35">
      <c r="B16" s="78"/>
      <c r="C16" s="38">
        <v>4</v>
      </c>
      <c r="D16" s="39" t="s">
        <v>52</v>
      </c>
      <c r="E16" s="41" t="s">
        <v>60</v>
      </c>
      <c r="F16" s="145" t="s">
        <v>944</v>
      </c>
      <c r="G16" s="33"/>
      <c r="H16" s="41"/>
      <c r="I16" s="144"/>
      <c r="J16" s="8"/>
      <c r="K16" s="8"/>
      <c r="L16" s="45"/>
    </row>
    <row r="17" spans="2:12" s="10" customFormat="1" ht="35" customHeight="1" x14ac:dyDescent="0.35">
      <c r="B17" s="317">
        <v>45601</v>
      </c>
      <c r="C17" s="19">
        <v>1</v>
      </c>
      <c r="D17" s="39" t="s">
        <v>483</v>
      </c>
      <c r="E17" s="39" t="s">
        <v>878</v>
      </c>
      <c r="F17" s="40" t="s">
        <v>921</v>
      </c>
      <c r="G17" s="41" t="s">
        <v>448</v>
      </c>
      <c r="H17" s="41"/>
      <c r="I17" s="5"/>
      <c r="J17" s="8"/>
      <c r="K17" s="8"/>
      <c r="L17" s="9"/>
    </row>
    <row r="18" spans="2:12" s="10" customFormat="1" ht="35" customHeight="1" x14ac:dyDescent="0.35">
      <c r="B18" s="299"/>
      <c r="C18" s="38">
        <v>2</v>
      </c>
      <c r="D18" s="39" t="s">
        <v>52</v>
      </c>
      <c r="E18" s="39" t="s">
        <v>945</v>
      </c>
      <c r="F18" s="40" t="s">
        <v>946</v>
      </c>
      <c r="G18" s="41" t="s">
        <v>120</v>
      </c>
      <c r="H18" s="41" t="s">
        <v>62</v>
      </c>
      <c r="I18" s="238"/>
      <c r="J18" s="8"/>
      <c r="K18" s="8"/>
      <c r="L18" s="9"/>
    </row>
    <row r="19" spans="2:12" s="10" customFormat="1" ht="30.5" customHeight="1" x14ac:dyDescent="0.35">
      <c r="B19" s="299"/>
      <c r="C19" s="38">
        <v>3</v>
      </c>
      <c r="D19" s="42" t="s">
        <v>52</v>
      </c>
      <c r="E19" s="42" t="s">
        <v>48</v>
      </c>
      <c r="F19" s="141" t="s">
        <v>947</v>
      </c>
      <c r="G19" s="41"/>
      <c r="H19" s="41"/>
      <c r="I19" s="82"/>
      <c r="J19" s="8"/>
      <c r="K19" s="8"/>
      <c r="L19" s="9"/>
    </row>
    <row r="20" spans="2:12" s="10" customFormat="1" ht="31.5" customHeight="1" x14ac:dyDescent="0.35">
      <c r="B20" s="318"/>
      <c r="C20" s="19">
        <v>4</v>
      </c>
      <c r="D20" s="39" t="s">
        <v>52</v>
      </c>
      <c r="E20" s="41" t="s">
        <v>110</v>
      </c>
      <c r="F20" s="145" t="s">
        <v>924</v>
      </c>
      <c r="G20" s="33"/>
      <c r="H20" s="33"/>
      <c r="I20" s="5"/>
      <c r="J20" s="8"/>
      <c r="K20" s="8"/>
      <c r="L20" s="6"/>
    </row>
    <row r="21" spans="2:12" s="10" customFormat="1" ht="37" customHeight="1" x14ac:dyDescent="0.35">
      <c r="B21" s="317">
        <v>45602</v>
      </c>
      <c r="C21" s="19">
        <v>1</v>
      </c>
      <c r="D21" s="237" t="s">
        <v>52</v>
      </c>
      <c r="E21" s="41" t="s">
        <v>14</v>
      </c>
      <c r="F21" s="145" t="s">
        <v>948</v>
      </c>
      <c r="G21" s="33" t="s">
        <v>191</v>
      </c>
      <c r="H21" s="33"/>
      <c r="I21" s="5"/>
      <c r="J21" s="8"/>
      <c r="K21" s="8"/>
      <c r="L21" s="6"/>
    </row>
    <row r="22" spans="2:12" s="10" customFormat="1" ht="58" x14ac:dyDescent="0.35">
      <c r="B22" s="299"/>
      <c r="C22" s="19">
        <v>2</v>
      </c>
      <c r="D22" s="237" t="s">
        <v>47</v>
      </c>
      <c r="E22" s="41" t="s">
        <v>42</v>
      </c>
      <c r="F22" s="145" t="s">
        <v>949</v>
      </c>
      <c r="G22" s="33"/>
      <c r="H22" s="33"/>
      <c r="I22" s="5"/>
      <c r="J22" s="8"/>
      <c r="K22" s="8"/>
      <c r="L22" s="6"/>
    </row>
    <row r="23" spans="2:12" s="10" customFormat="1" ht="31.5" customHeight="1" x14ac:dyDescent="0.35">
      <c r="B23" s="299"/>
      <c r="C23" s="19">
        <v>3</v>
      </c>
      <c r="D23" s="237" t="s">
        <v>52</v>
      </c>
      <c r="E23" s="41" t="s">
        <v>950</v>
      </c>
      <c r="F23" s="145" t="s">
        <v>925</v>
      </c>
      <c r="G23" s="33" t="s">
        <v>348</v>
      </c>
      <c r="H23" s="33"/>
      <c r="I23" s="5"/>
      <c r="J23" s="8"/>
      <c r="K23" s="8"/>
      <c r="L23" s="6"/>
    </row>
    <row r="24" spans="2:12" s="10" customFormat="1" ht="50.5" customHeight="1" x14ac:dyDescent="0.35">
      <c r="B24" s="318"/>
      <c r="C24" s="19">
        <v>4</v>
      </c>
      <c r="D24" s="237" t="s">
        <v>52</v>
      </c>
      <c r="E24" s="41" t="s">
        <v>951</v>
      </c>
      <c r="F24" s="145" t="s">
        <v>952</v>
      </c>
      <c r="G24" s="33"/>
      <c r="H24" s="33"/>
      <c r="I24" s="5"/>
      <c r="J24" s="8"/>
      <c r="K24" s="8"/>
      <c r="L24" s="6"/>
    </row>
    <row r="25" spans="2:12" s="10" customFormat="1" ht="58" x14ac:dyDescent="0.35">
      <c r="B25" s="317">
        <v>45603</v>
      </c>
      <c r="C25" s="19">
        <v>1</v>
      </c>
      <c r="D25" s="237" t="s">
        <v>24</v>
      </c>
      <c r="E25" s="41" t="s">
        <v>14</v>
      </c>
      <c r="F25" s="145" t="s">
        <v>954</v>
      </c>
      <c r="G25" s="33"/>
      <c r="H25" s="33"/>
      <c r="I25" s="5"/>
      <c r="J25" s="8"/>
      <c r="K25" s="8"/>
      <c r="L25" s="6"/>
    </row>
    <row r="26" spans="2:12" s="10" customFormat="1" ht="31.5" customHeight="1" x14ac:dyDescent="0.35">
      <c r="B26" s="299"/>
      <c r="C26" s="19">
        <v>2</v>
      </c>
      <c r="D26" s="237" t="s">
        <v>29</v>
      </c>
      <c r="E26" s="41" t="s">
        <v>872</v>
      </c>
      <c r="F26" s="145" t="s">
        <v>953</v>
      </c>
      <c r="G26" s="33" t="s">
        <v>448</v>
      </c>
      <c r="H26" s="33"/>
      <c r="I26" s="5"/>
      <c r="J26" s="8"/>
      <c r="K26" s="8"/>
      <c r="L26" s="6"/>
    </row>
    <row r="27" spans="2:12" s="10" customFormat="1" ht="58" x14ac:dyDescent="0.35">
      <c r="B27" s="299"/>
      <c r="C27" s="19">
        <v>3</v>
      </c>
      <c r="D27" s="136" t="s">
        <v>52</v>
      </c>
      <c r="E27" s="41" t="s">
        <v>955</v>
      </c>
      <c r="F27" s="145" t="s">
        <v>956</v>
      </c>
      <c r="G27" s="33"/>
      <c r="H27" s="33"/>
      <c r="I27" s="5"/>
      <c r="J27" s="8"/>
      <c r="K27" s="8"/>
      <c r="L27" s="6"/>
    </row>
    <row r="28" spans="2:12" s="10" customFormat="1" ht="40" customHeight="1" x14ac:dyDescent="0.35">
      <c r="B28" s="318"/>
      <c r="C28" s="19">
        <v>4</v>
      </c>
      <c r="D28" s="237" t="s">
        <v>52</v>
      </c>
      <c r="E28" s="41" t="s">
        <v>153</v>
      </c>
      <c r="F28" s="145" t="s">
        <v>957</v>
      </c>
      <c r="G28" s="33"/>
      <c r="H28" s="33"/>
      <c r="I28" s="5"/>
      <c r="J28" s="8"/>
      <c r="K28" s="8"/>
      <c r="L28" s="6"/>
    </row>
    <row r="29" spans="2:12" s="10" customFormat="1" ht="31.5" customHeight="1" x14ac:dyDescent="0.35">
      <c r="B29" s="319">
        <v>45604</v>
      </c>
      <c r="C29" s="19">
        <v>1</v>
      </c>
      <c r="D29" s="139" t="s">
        <v>52</v>
      </c>
      <c r="E29" s="5" t="s">
        <v>955</v>
      </c>
      <c r="F29" s="6" t="s">
        <v>958</v>
      </c>
      <c r="G29" s="33"/>
      <c r="H29" s="33"/>
      <c r="I29" s="5"/>
      <c r="J29" s="8"/>
      <c r="K29" s="8"/>
      <c r="L29" s="6"/>
    </row>
    <row r="30" spans="2:12" s="10" customFormat="1" ht="31.5" customHeight="1" x14ac:dyDescent="0.35">
      <c r="B30" s="319"/>
      <c r="C30" s="19">
        <v>2</v>
      </c>
      <c r="D30" s="136" t="s">
        <v>927</v>
      </c>
      <c r="E30" s="41" t="s">
        <v>110</v>
      </c>
      <c r="F30" s="145" t="s">
        <v>926</v>
      </c>
      <c r="G30" s="33" t="s">
        <v>308</v>
      </c>
      <c r="H30" s="33"/>
      <c r="I30" s="5"/>
      <c r="J30" s="8"/>
      <c r="K30" s="8"/>
      <c r="L30" s="6"/>
    </row>
    <row r="31" spans="2:12" s="10" customFormat="1" ht="49.5" customHeight="1" x14ac:dyDescent="0.35">
      <c r="B31" s="319"/>
      <c r="C31" s="19">
        <v>3</v>
      </c>
      <c r="D31" s="139" t="s">
        <v>447</v>
      </c>
      <c r="E31" s="5" t="s">
        <v>48</v>
      </c>
      <c r="F31" s="6" t="s">
        <v>959</v>
      </c>
      <c r="G31" s="33"/>
      <c r="H31" s="33"/>
      <c r="I31" s="5"/>
      <c r="J31" s="8"/>
      <c r="K31" s="8"/>
      <c r="L31" s="6"/>
    </row>
    <row r="32" spans="2:12" s="10" customFormat="1" ht="38.5" customHeight="1" x14ac:dyDescent="0.35">
      <c r="B32" s="319"/>
      <c r="C32" s="19">
        <v>4</v>
      </c>
      <c r="D32" s="5" t="s">
        <v>52</v>
      </c>
      <c r="E32" s="5" t="s">
        <v>113</v>
      </c>
      <c r="F32" s="6" t="s">
        <v>960</v>
      </c>
      <c r="G32" s="33"/>
      <c r="H32" s="33"/>
      <c r="I32" s="5"/>
      <c r="J32" s="8"/>
      <c r="K32" s="8"/>
      <c r="L32" s="6"/>
    </row>
    <row r="33" spans="2:12" s="3" customFormat="1" ht="21.5" customHeight="1" x14ac:dyDescent="0.35">
      <c r="B33" s="288" t="s">
        <v>45</v>
      </c>
      <c r="C33" s="288"/>
      <c r="D33" s="288"/>
      <c r="E33" s="288"/>
      <c r="F33" s="288"/>
      <c r="G33" s="288"/>
      <c r="H33" s="288"/>
      <c r="I33" s="288"/>
      <c r="J33" s="289"/>
      <c r="K33" s="289"/>
      <c r="L33" s="290"/>
    </row>
    <row r="34" spans="2:12" s="10" customFormat="1" ht="36" customHeight="1" x14ac:dyDescent="0.35">
      <c r="B34" s="317">
        <v>45607</v>
      </c>
      <c r="C34" s="19">
        <v>1</v>
      </c>
      <c r="D34" s="11" t="s">
        <v>52</v>
      </c>
      <c r="E34" s="11" t="s">
        <v>37</v>
      </c>
      <c r="F34" s="6" t="s">
        <v>961</v>
      </c>
      <c r="G34" s="49"/>
      <c r="H34" s="49"/>
      <c r="I34" s="34"/>
      <c r="J34" s="46"/>
      <c r="K34" s="46"/>
      <c r="L34" s="50"/>
    </row>
    <row r="35" spans="2:12" s="10" customFormat="1" ht="36" customHeight="1" x14ac:dyDescent="0.35">
      <c r="B35" s="299"/>
      <c r="C35" s="38">
        <v>2</v>
      </c>
      <c r="D35" s="11" t="s">
        <v>52</v>
      </c>
      <c r="E35" s="11" t="s">
        <v>8</v>
      </c>
      <c r="F35" s="6" t="s">
        <v>962</v>
      </c>
      <c r="G35" s="49"/>
      <c r="H35" s="49"/>
      <c r="I35" s="34"/>
      <c r="J35" s="54"/>
      <c r="K35" s="54"/>
      <c r="L35" s="50"/>
    </row>
    <row r="36" spans="2:12" s="10" customFormat="1" ht="41" customHeight="1" x14ac:dyDescent="0.35">
      <c r="B36" s="299"/>
      <c r="C36" s="38">
        <v>3</v>
      </c>
      <c r="D36" s="5" t="s">
        <v>29</v>
      </c>
      <c r="E36" s="5" t="s">
        <v>110</v>
      </c>
      <c r="F36" s="6" t="s">
        <v>928</v>
      </c>
      <c r="G36" s="49"/>
      <c r="H36" s="49"/>
      <c r="I36" s="47"/>
      <c r="J36" s="54"/>
      <c r="K36" s="44"/>
      <c r="L36" s="50"/>
    </row>
    <row r="37" spans="2:12" s="10" customFormat="1" ht="50" customHeight="1" x14ac:dyDescent="0.35">
      <c r="B37" s="299"/>
      <c r="C37" s="38">
        <v>4</v>
      </c>
      <c r="D37" s="5" t="s">
        <v>29</v>
      </c>
      <c r="E37" s="5" t="s">
        <v>48</v>
      </c>
      <c r="F37" s="6" t="s">
        <v>963</v>
      </c>
      <c r="G37" s="49"/>
      <c r="H37" s="49"/>
      <c r="I37" s="47"/>
      <c r="J37" s="54"/>
      <c r="K37" s="44"/>
      <c r="L37" s="50"/>
    </row>
    <row r="38" spans="2:12" s="10" customFormat="1" ht="67.5" customHeight="1" x14ac:dyDescent="0.35">
      <c r="B38" s="314">
        <v>45608</v>
      </c>
      <c r="C38" s="19">
        <v>1</v>
      </c>
      <c r="D38" s="11" t="s">
        <v>52</v>
      </c>
      <c r="E38" s="11" t="s">
        <v>8</v>
      </c>
      <c r="F38" s="81" t="s">
        <v>964</v>
      </c>
      <c r="G38" s="33"/>
      <c r="H38" s="33"/>
      <c r="I38" s="5"/>
      <c r="J38" s="8"/>
      <c r="K38" s="8"/>
      <c r="L38" s="9"/>
    </row>
    <row r="39" spans="2:12" s="10" customFormat="1" ht="36" customHeight="1" x14ac:dyDescent="0.35">
      <c r="B39" s="315"/>
      <c r="C39" s="19">
        <v>2</v>
      </c>
      <c r="D39" s="11" t="s">
        <v>47</v>
      </c>
      <c r="E39" s="11" t="s">
        <v>878</v>
      </c>
      <c r="F39" s="6" t="s">
        <v>965</v>
      </c>
      <c r="G39" s="49"/>
      <c r="H39" s="33"/>
      <c r="I39" s="5"/>
      <c r="J39" s="8"/>
      <c r="K39" s="8"/>
      <c r="L39" s="50"/>
    </row>
    <row r="40" spans="2:12" ht="47" customHeight="1" x14ac:dyDescent="0.35">
      <c r="B40" s="315"/>
      <c r="C40" s="19">
        <v>3</v>
      </c>
      <c r="D40" s="5" t="s">
        <v>24</v>
      </c>
      <c r="E40" s="5" t="s">
        <v>966</v>
      </c>
      <c r="F40" s="6" t="s">
        <v>967</v>
      </c>
      <c r="G40" s="49"/>
      <c r="H40" s="33"/>
      <c r="I40" s="12"/>
      <c r="J40" s="13"/>
      <c r="K40" s="13"/>
      <c r="L40" s="9"/>
    </row>
    <row r="41" spans="2:12" ht="34" customHeight="1" x14ac:dyDescent="0.35">
      <c r="B41" s="315"/>
      <c r="C41" s="38">
        <v>4</v>
      </c>
      <c r="D41" s="5" t="s">
        <v>844</v>
      </c>
      <c r="E41" s="39" t="s">
        <v>968</v>
      </c>
      <c r="F41" s="40" t="s">
        <v>969</v>
      </c>
      <c r="G41" s="41"/>
      <c r="H41" s="41"/>
      <c r="I41" s="12"/>
      <c r="J41" s="13"/>
      <c r="K41" s="28"/>
      <c r="L41" s="40"/>
    </row>
    <row r="42" spans="2:12" ht="40" customHeight="1" x14ac:dyDescent="0.35">
      <c r="B42" s="315"/>
      <c r="C42" s="38">
        <v>5</v>
      </c>
      <c r="D42" s="39" t="s">
        <v>47</v>
      </c>
      <c r="E42" s="39" t="s">
        <v>48</v>
      </c>
      <c r="F42" s="40" t="s">
        <v>970</v>
      </c>
      <c r="G42" s="41"/>
      <c r="H42" s="41"/>
      <c r="I42" s="12"/>
      <c r="J42" s="13"/>
      <c r="K42" s="28"/>
      <c r="L42" s="40"/>
    </row>
    <row r="43" spans="2:12" ht="40" customHeight="1" x14ac:dyDescent="0.35">
      <c r="B43" s="316"/>
      <c r="C43" s="38">
        <v>6</v>
      </c>
      <c r="D43" s="39" t="s">
        <v>24</v>
      </c>
      <c r="E43" s="39" t="s">
        <v>14</v>
      </c>
      <c r="F43" s="40" t="s">
        <v>971</v>
      </c>
      <c r="G43" s="41"/>
      <c r="H43" s="41"/>
      <c r="I43" s="12"/>
      <c r="J43" s="13"/>
      <c r="K43" s="28"/>
      <c r="L43" s="40"/>
    </row>
    <row r="44" spans="2:12" ht="36.5" customHeight="1" x14ac:dyDescent="0.35">
      <c r="B44" s="317">
        <v>45609</v>
      </c>
      <c r="C44" s="38">
        <v>1</v>
      </c>
      <c r="D44" s="42" t="s">
        <v>52</v>
      </c>
      <c r="E44" s="39" t="s">
        <v>81</v>
      </c>
      <c r="F44" s="40" t="s">
        <v>972</v>
      </c>
      <c r="G44" s="41"/>
      <c r="H44" s="41"/>
      <c r="I44" s="12"/>
      <c r="J44" s="13"/>
      <c r="K44" s="28"/>
      <c r="L44" s="45"/>
    </row>
    <row r="45" spans="2:12" ht="35.5" customHeight="1" x14ac:dyDescent="0.35">
      <c r="B45" s="299"/>
      <c r="C45" s="38">
        <v>2</v>
      </c>
      <c r="D45" s="42" t="s">
        <v>52</v>
      </c>
      <c r="E45" s="41" t="s">
        <v>930</v>
      </c>
      <c r="F45" s="40" t="s">
        <v>929</v>
      </c>
      <c r="G45" s="41"/>
      <c r="H45" s="41"/>
      <c r="I45" s="12"/>
      <c r="J45" s="13"/>
      <c r="K45" s="28"/>
      <c r="L45" s="45"/>
    </row>
    <row r="46" spans="2:12" ht="46" customHeight="1" x14ac:dyDescent="0.35">
      <c r="B46" s="317">
        <v>45610</v>
      </c>
      <c r="C46" s="38">
        <v>1</v>
      </c>
      <c r="D46" s="42" t="s">
        <v>52</v>
      </c>
      <c r="E46" s="41" t="s">
        <v>930</v>
      </c>
      <c r="F46" s="40" t="s">
        <v>929</v>
      </c>
      <c r="G46" s="49"/>
      <c r="H46" s="41"/>
      <c r="I46" s="12"/>
      <c r="J46" s="13"/>
      <c r="K46" s="28"/>
      <c r="L46" s="45"/>
    </row>
    <row r="47" spans="2:12" ht="51" customHeight="1" x14ac:dyDescent="0.35">
      <c r="B47" s="299"/>
      <c r="C47" s="19">
        <v>2</v>
      </c>
      <c r="D47" s="11" t="s">
        <v>24</v>
      </c>
      <c r="E47" s="5" t="s">
        <v>14</v>
      </c>
      <c r="F47" s="6" t="s">
        <v>973</v>
      </c>
      <c r="G47" s="33"/>
      <c r="H47" s="33"/>
      <c r="I47" s="12"/>
      <c r="J47" s="13"/>
      <c r="K47" s="13"/>
      <c r="L47" s="9"/>
    </row>
    <row r="48" spans="2:12" ht="36" customHeight="1" x14ac:dyDescent="0.35">
      <c r="B48" s="317">
        <v>45611</v>
      </c>
      <c r="C48" s="20">
        <v>1</v>
      </c>
      <c r="D48" s="14" t="s">
        <v>24</v>
      </c>
      <c r="E48" s="14" t="s">
        <v>878</v>
      </c>
      <c r="F48" s="15" t="s">
        <v>931</v>
      </c>
      <c r="G48" s="176"/>
      <c r="H48" s="14"/>
      <c r="I48" s="55"/>
      <c r="J48" s="14"/>
      <c r="K48" s="14"/>
      <c r="L48" s="17"/>
    </row>
    <row r="49" spans="2:12" ht="49.5" customHeight="1" x14ac:dyDescent="0.35">
      <c r="B49" s="299"/>
      <c r="C49" s="20">
        <v>2</v>
      </c>
      <c r="D49" s="14" t="s">
        <v>52</v>
      </c>
      <c r="E49" s="25" t="s">
        <v>92</v>
      </c>
      <c r="F49" s="15" t="s">
        <v>974</v>
      </c>
      <c r="G49" s="14"/>
      <c r="H49" s="14"/>
      <c r="I49" s="23"/>
      <c r="J49" s="14"/>
      <c r="K49" s="14"/>
      <c r="L49" s="17"/>
    </row>
    <row r="50" spans="2:12" ht="29" customHeight="1" x14ac:dyDescent="0.35">
      <c r="B50" s="299"/>
      <c r="C50" s="38">
        <v>3</v>
      </c>
      <c r="D50" s="14" t="s">
        <v>52</v>
      </c>
      <c r="E50" s="14" t="s">
        <v>878</v>
      </c>
      <c r="F50" s="15" t="s">
        <v>932</v>
      </c>
      <c r="G50" s="14"/>
      <c r="H50" s="39"/>
      <c r="I50" s="47"/>
      <c r="J50" s="47"/>
      <c r="K50" s="14"/>
      <c r="L50" s="17"/>
    </row>
    <row r="51" spans="2:12" ht="39.5" customHeight="1" x14ac:dyDescent="0.35">
      <c r="B51" s="299"/>
      <c r="C51" s="38">
        <v>4</v>
      </c>
      <c r="D51" s="14" t="s">
        <v>52</v>
      </c>
      <c r="E51" s="14" t="s">
        <v>48</v>
      </c>
      <c r="F51" s="15" t="s">
        <v>991</v>
      </c>
      <c r="G51" s="14"/>
      <c r="H51" s="39"/>
      <c r="I51" s="47"/>
      <c r="J51" s="47"/>
      <c r="K51" s="14"/>
      <c r="L51" s="17"/>
    </row>
    <row r="52" spans="2:12" ht="42.5" customHeight="1" x14ac:dyDescent="0.35">
      <c r="B52" s="318"/>
      <c r="C52" s="19">
        <v>5</v>
      </c>
      <c r="D52" s="5" t="s">
        <v>52</v>
      </c>
      <c r="E52" s="5" t="s">
        <v>8</v>
      </c>
      <c r="F52" s="6" t="s">
        <v>975</v>
      </c>
      <c r="G52" s="5"/>
      <c r="H52" s="5"/>
      <c r="I52" s="47"/>
      <c r="J52" s="47"/>
      <c r="K52" s="14"/>
      <c r="L52" s="56"/>
    </row>
    <row r="53" spans="2:12" s="3" customFormat="1" ht="21.5" customHeight="1" x14ac:dyDescent="0.35">
      <c r="B53" s="288" t="s">
        <v>63</v>
      </c>
      <c r="C53" s="288"/>
      <c r="D53" s="288"/>
      <c r="E53" s="288"/>
      <c r="F53" s="288"/>
      <c r="G53" s="288"/>
      <c r="H53" s="288"/>
      <c r="I53" s="288"/>
      <c r="J53" s="289"/>
      <c r="K53" s="289"/>
      <c r="L53" s="290"/>
    </row>
    <row r="54" spans="2:12" ht="34" customHeight="1" x14ac:dyDescent="0.35">
      <c r="B54" s="127">
        <v>45614</v>
      </c>
      <c r="C54" s="19">
        <v>1</v>
      </c>
      <c r="D54" s="5" t="s">
        <v>24</v>
      </c>
      <c r="E54" s="33" t="s">
        <v>915</v>
      </c>
      <c r="F54" s="6" t="s">
        <v>976</v>
      </c>
      <c r="G54" s="5"/>
      <c r="H54" s="5"/>
      <c r="I54" s="21"/>
      <c r="J54" s="14"/>
      <c r="K54" s="14"/>
      <c r="L54" s="5"/>
    </row>
    <row r="55" spans="2:12" ht="58" x14ac:dyDescent="0.35">
      <c r="B55" s="26"/>
      <c r="C55" s="20">
        <v>2</v>
      </c>
      <c r="D55" s="14" t="s">
        <v>24</v>
      </c>
      <c r="E55" s="14" t="s">
        <v>8</v>
      </c>
      <c r="F55" s="15" t="s">
        <v>977</v>
      </c>
      <c r="G55" s="14"/>
      <c r="H55" s="14"/>
      <c r="I55" s="55"/>
      <c r="J55" s="14"/>
      <c r="K55" s="14"/>
      <c r="L55" s="14"/>
    </row>
    <row r="56" spans="2:12" ht="58" x14ac:dyDescent="0.35">
      <c r="B56" s="299"/>
      <c r="C56" s="20">
        <v>3</v>
      </c>
      <c r="D56" s="14" t="s">
        <v>29</v>
      </c>
      <c r="E56" s="14" t="s">
        <v>37</v>
      </c>
      <c r="F56" s="15" t="s">
        <v>978</v>
      </c>
      <c r="G56" s="14"/>
      <c r="H56" s="14"/>
      <c r="I56" s="23"/>
      <c r="J56" s="14"/>
      <c r="K56" s="14"/>
      <c r="L56" s="14"/>
    </row>
    <row r="57" spans="2:12" ht="53.5" customHeight="1" x14ac:dyDescent="0.35">
      <c r="B57" s="299"/>
      <c r="C57" s="19">
        <v>4</v>
      </c>
      <c r="D57" s="5" t="s">
        <v>24</v>
      </c>
      <c r="E57" s="5" t="s">
        <v>599</v>
      </c>
      <c r="F57" s="6" t="s">
        <v>979</v>
      </c>
      <c r="G57" s="39"/>
      <c r="H57" s="39"/>
      <c r="I57" s="47"/>
      <c r="J57" s="14"/>
      <c r="K57" s="14"/>
      <c r="L57" s="39"/>
    </row>
    <row r="58" spans="2:12" ht="22.5" customHeight="1" x14ac:dyDescent="0.35">
      <c r="B58" s="127">
        <v>45615</v>
      </c>
      <c r="C58" s="19">
        <v>1</v>
      </c>
      <c r="D58" s="5" t="s">
        <v>89</v>
      </c>
      <c r="E58" s="5" t="s">
        <v>988</v>
      </c>
      <c r="F58" s="6" t="s">
        <v>1005</v>
      </c>
      <c r="G58" s="5"/>
      <c r="H58" s="5"/>
      <c r="I58" s="23"/>
      <c r="J58" s="5"/>
      <c r="K58" s="5"/>
      <c r="L58" s="9"/>
    </row>
    <row r="59" spans="2:12" ht="45" customHeight="1" x14ac:dyDescent="0.35">
      <c r="B59" s="26"/>
      <c r="C59" s="20">
        <v>2</v>
      </c>
      <c r="D59" s="14" t="s">
        <v>24</v>
      </c>
      <c r="E59" s="25" t="s">
        <v>57</v>
      </c>
      <c r="F59" s="15" t="s">
        <v>980</v>
      </c>
      <c r="G59" s="5"/>
      <c r="H59" s="14"/>
      <c r="I59" s="23"/>
      <c r="J59" s="14"/>
      <c r="K59" s="14"/>
      <c r="L59" s="15"/>
    </row>
    <row r="60" spans="2:12" ht="34" customHeight="1" x14ac:dyDescent="0.35">
      <c r="B60" s="26"/>
      <c r="C60" s="20">
        <v>3</v>
      </c>
      <c r="D60" s="14" t="s">
        <v>52</v>
      </c>
      <c r="E60" s="14" t="s">
        <v>60</v>
      </c>
      <c r="F60" s="15" t="s">
        <v>982</v>
      </c>
      <c r="G60" s="14"/>
      <c r="H60" s="25"/>
      <c r="I60" s="23"/>
      <c r="J60" s="14"/>
      <c r="K60" s="14"/>
      <c r="L60" s="15"/>
    </row>
    <row r="61" spans="2:12" ht="35.5" customHeight="1" x14ac:dyDescent="0.35">
      <c r="B61" s="65"/>
      <c r="C61" s="19">
        <v>4</v>
      </c>
      <c r="D61" s="5" t="s">
        <v>52</v>
      </c>
      <c r="E61" s="33" t="s">
        <v>180</v>
      </c>
      <c r="F61" s="6" t="s">
        <v>981</v>
      </c>
      <c r="G61" s="5"/>
      <c r="H61" s="5"/>
      <c r="I61" s="47"/>
      <c r="J61" s="5"/>
      <c r="K61" s="5"/>
      <c r="L61" s="9"/>
    </row>
    <row r="62" spans="2:12" ht="32.5" customHeight="1" x14ac:dyDescent="0.35">
      <c r="B62" s="127">
        <v>45616</v>
      </c>
      <c r="C62" s="20">
        <v>1</v>
      </c>
      <c r="D62" s="14" t="s">
        <v>47</v>
      </c>
      <c r="E62" s="14" t="s">
        <v>988</v>
      </c>
      <c r="F62" s="15" t="s">
        <v>1006</v>
      </c>
      <c r="G62" s="14" t="s">
        <v>554</v>
      </c>
      <c r="H62" s="14"/>
      <c r="I62" s="55"/>
      <c r="J62" s="14"/>
      <c r="K62" s="14"/>
      <c r="L62" s="15"/>
    </row>
    <row r="63" spans="2:12" ht="58" x14ac:dyDescent="0.35">
      <c r="B63" s="26"/>
      <c r="C63" s="20">
        <v>2</v>
      </c>
      <c r="D63" s="14" t="s">
        <v>125</v>
      </c>
      <c r="E63" s="14" t="s">
        <v>8</v>
      </c>
      <c r="F63" s="15" t="s">
        <v>984</v>
      </c>
      <c r="G63" s="5"/>
      <c r="H63" s="14" t="s">
        <v>941</v>
      </c>
      <c r="I63" s="23"/>
      <c r="J63" s="14"/>
      <c r="K63" s="14"/>
      <c r="L63" s="15"/>
    </row>
    <row r="64" spans="2:12" ht="58" x14ac:dyDescent="0.35">
      <c r="B64" s="26"/>
      <c r="C64" s="20">
        <v>3</v>
      </c>
      <c r="D64" s="14" t="s">
        <v>125</v>
      </c>
      <c r="E64" s="14" t="s">
        <v>14</v>
      </c>
      <c r="F64" s="15" t="s">
        <v>986</v>
      </c>
      <c r="G64" s="5"/>
      <c r="H64" s="14" t="s">
        <v>44</v>
      </c>
      <c r="I64" s="23"/>
      <c r="J64" s="14"/>
      <c r="K64" s="14"/>
      <c r="L64" s="15"/>
    </row>
    <row r="65" spans="2:12" ht="36.5" customHeight="1" x14ac:dyDescent="0.35">
      <c r="B65" s="26"/>
      <c r="C65" s="20">
        <v>4</v>
      </c>
      <c r="D65" s="14" t="s">
        <v>29</v>
      </c>
      <c r="E65" s="14" t="s">
        <v>37</v>
      </c>
      <c r="F65" s="15" t="s">
        <v>985</v>
      </c>
      <c r="G65" s="5"/>
      <c r="H65" s="14" t="s">
        <v>450</v>
      </c>
      <c r="I65" s="23"/>
      <c r="J65" s="14"/>
      <c r="K65" s="14"/>
      <c r="L65" s="15"/>
    </row>
    <row r="66" spans="2:12" ht="32.5" customHeight="1" x14ac:dyDescent="0.35">
      <c r="B66" s="127">
        <v>45617</v>
      </c>
      <c r="C66" s="20">
        <v>1</v>
      </c>
      <c r="D66" s="14" t="s">
        <v>89</v>
      </c>
      <c r="E66" s="25" t="s">
        <v>57</v>
      </c>
      <c r="F66" s="15" t="s">
        <v>987</v>
      </c>
      <c r="G66" s="5" t="s">
        <v>18</v>
      </c>
      <c r="H66" s="14" t="s">
        <v>88</v>
      </c>
      <c r="I66" s="23"/>
      <c r="J66" s="14"/>
      <c r="K66" s="14"/>
      <c r="L66" s="17"/>
    </row>
    <row r="67" spans="2:12" ht="45.5" customHeight="1" x14ac:dyDescent="0.35">
      <c r="B67" s="26"/>
      <c r="C67" s="20">
        <v>2</v>
      </c>
      <c r="D67" s="14" t="s">
        <v>29</v>
      </c>
      <c r="E67" s="14" t="s">
        <v>988</v>
      </c>
      <c r="F67" s="15" t="s">
        <v>1007</v>
      </c>
      <c r="G67" s="5"/>
      <c r="H67" s="14"/>
      <c r="I67" s="23"/>
      <c r="J67" s="14"/>
      <c r="K67" s="14"/>
      <c r="L67" s="15"/>
    </row>
    <row r="68" spans="2:12" ht="43.5" x14ac:dyDescent="0.35">
      <c r="B68" s="26"/>
      <c r="C68" s="20">
        <v>3</v>
      </c>
      <c r="D68" s="14" t="s">
        <v>52</v>
      </c>
      <c r="E68" s="14" t="s">
        <v>81</v>
      </c>
      <c r="F68" s="15" t="s">
        <v>989</v>
      </c>
      <c r="G68" s="14"/>
      <c r="H68" s="14"/>
      <c r="I68" s="23"/>
      <c r="J68" s="14"/>
      <c r="K68" s="14"/>
      <c r="L68" s="17"/>
    </row>
    <row r="69" spans="2:12" ht="36.5" customHeight="1" x14ac:dyDescent="0.35">
      <c r="B69" s="65"/>
      <c r="C69" s="38">
        <v>4</v>
      </c>
      <c r="D69" s="39" t="s">
        <v>52</v>
      </c>
      <c r="E69" s="39" t="s">
        <v>48</v>
      </c>
      <c r="F69" s="40" t="s">
        <v>990</v>
      </c>
      <c r="G69" s="39"/>
      <c r="H69" s="41"/>
      <c r="I69" s="47"/>
      <c r="J69" s="47"/>
      <c r="K69" s="14"/>
      <c r="L69" s="45"/>
    </row>
    <row r="70" spans="2:12" ht="58" x14ac:dyDescent="0.35">
      <c r="B70" s="127">
        <v>45618</v>
      </c>
      <c r="C70" s="19">
        <v>1</v>
      </c>
      <c r="D70" s="39" t="s">
        <v>24</v>
      </c>
      <c r="E70" s="41" t="s">
        <v>57</v>
      </c>
      <c r="F70" s="40" t="s">
        <v>992</v>
      </c>
      <c r="G70" s="5"/>
      <c r="H70" s="33"/>
      <c r="I70" s="47"/>
      <c r="J70" s="14"/>
      <c r="K70" s="14"/>
      <c r="L70" s="24"/>
    </row>
    <row r="71" spans="2:12" ht="43.5" x14ac:dyDescent="0.35">
      <c r="B71" s="26"/>
      <c r="C71" s="19">
        <v>2</v>
      </c>
      <c r="D71" s="39" t="s">
        <v>52</v>
      </c>
      <c r="E71" s="5" t="s">
        <v>48</v>
      </c>
      <c r="F71" s="62" t="s">
        <v>993</v>
      </c>
      <c r="G71" s="5"/>
      <c r="H71" s="33"/>
      <c r="I71" s="47"/>
      <c r="J71" s="14"/>
      <c r="K71" s="14"/>
      <c r="L71" s="24"/>
    </row>
    <row r="72" spans="2:12" ht="32" customHeight="1" x14ac:dyDescent="0.35">
      <c r="B72" s="26"/>
      <c r="C72" s="19">
        <v>3</v>
      </c>
      <c r="D72" s="39" t="s">
        <v>47</v>
      </c>
      <c r="E72" s="5" t="s">
        <v>186</v>
      </c>
      <c r="F72" s="62" t="s">
        <v>995</v>
      </c>
      <c r="G72" s="5"/>
      <c r="H72" s="33"/>
      <c r="I72" s="47"/>
      <c r="J72" s="14"/>
      <c r="K72" s="14"/>
      <c r="L72" s="24"/>
    </row>
    <row r="73" spans="2:12" ht="48" customHeight="1" x14ac:dyDescent="0.35">
      <c r="B73" s="65"/>
      <c r="C73" s="19">
        <v>4</v>
      </c>
      <c r="D73" s="5" t="s">
        <v>47</v>
      </c>
      <c r="E73" s="5" t="s">
        <v>996</v>
      </c>
      <c r="F73" s="6" t="s">
        <v>997</v>
      </c>
      <c r="G73" s="5"/>
      <c r="H73" s="33"/>
      <c r="I73" s="21"/>
      <c r="J73" s="14"/>
      <c r="K73" s="14"/>
      <c r="L73" s="24"/>
    </row>
    <row r="74" spans="2:12" s="3" customFormat="1" ht="21.5" customHeight="1" x14ac:dyDescent="0.35">
      <c r="B74" s="320" t="s">
        <v>53</v>
      </c>
      <c r="C74" s="288"/>
      <c r="D74" s="288"/>
      <c r="E74" s="288"/>
      <c r="F74" s="288"/>
      <c r="G74" s="288"/>
      <c r="H74" s="288"/>
      <c r="I74" s="288"/>
      <c r="J74" s="289"/>
      <c r="K74" s="289"/>
      <c r="L74" s="290"/>
    </row>
    <row r="75" spans="2:12" ht="37" customHeight="1" x14ac:dyDescent="0.35">
      <c r="B75" s="314">
        <v>45621</v>
      </c>
      <c r="C75" s="20">
        <v>1</v>
      </c>
      <c r="D75" s="14" t="s">
        <v>47</v>
      </c>
      <c r="E75" s="14" t="s">
        <v>998</v>
      </c>
      <c r="F75" s="62" t="s">
        <v>994</v>
      </c>
      <c r="G75" s="5"/>
      <c r="H75" s="14"/>
      <c r="I75" s="23"/>
      <c r="J75" s="14"/>
      <c r="K75" s="14"/>
      <c r="L75" s="61"/>
    </row>
    <row r="76" spans="2:12" ht="33" customHeight="1" x14ac:dyDescent="0.35">
      <c r="B76" s="315"/>
      <c r="C76" s="20">
        <v>2</v>
      </c>
      <c r="D76" s="14" t="s">
        <v>52</v>
      </c>
      <c r="E76" s="14" t="s">
        <v>999</v>
      </c>
      <c r="F76" s="15" t="s">
        <v>983</v>
      </c>
      <c r="G76" s="14"/>
      <c r="H76" s="25"/>
      <c r="I76" s="23"/>
      <c r="J76" s="14"/>
      <c r="K76" s="14"/>
      <c r="L76" s="61"/>
    </row>
    <row r="77" spans="2:12" ht="36" customHeight="1" x14ac:dyDescent="0.35">
      <c r="B77" s="315"/>
      <c r="C77" s="20">
        <v>3</v>
      </c>
      <c r="D77" s="14" t="s">
        <v>24</v>
      </c>
      <c r="E77" s="25" t="s">
        <v>57</v>
      </c>
      <c r="F77" s="62" t="s">
        <v>1000</v>
      </c>
      <c r="G77" s="5"/>
      <c r="H77" s="33"/>
      <c r="I77" s="23"/>
      <c r="J77" s="14"/>
      <c r="K77" s="14"/>
      <c r="L77" s="61"/>
    </row>
    <row r="78" spans="2:12" ht="32.5" customHeight="1" x14ac:dyDescent="0.35">
      <c r="B78" s="316"/>
      <c r="C78" s="20">
        <v>4</v>
      </c>
      <c r="D78" s="14" t="s">
        <v>52</v>
      </c>
      <c r="E78" s="14" t="s">
        <v>998</v>
      </c>
      <c r="F78" s="15" t="s">
        <v>1002</v>
      </c>
      <c r="G78" s="5"/>
      <c r="H78" s="33"/>
      <c r="I78" s="23"/>
      <c r="J78" s="14"/>
      <c r="K78" s="14"/>
      <c r="L78" s="61"/>
    </row>
    <row r="79" spans="2:12" ht="32" customHeight="1" x14ac:dyDescent="0.35">
      <c r="B79" s="314">
        <v>45622</v>
      </c>
      <c r="C79" s="20">
        <v>1</v>
      </c>
      <c r="D79" s="14" t="s">
        <v>47</v>
      </c>
      <c r="E79" s="14" t="s">
        <v>915</v>
      </c>
      <c r="F79" s="15" t="s">
        <v>1001</v>
      </c>
      <c r="G79" s="5"/>
      <c r="H79" s="14"/>
      <c r="I79" s="23"/>
      <c r="J79" s="14"/>
      <c r="K79" s="14"/>
      <c r="L79" s="17"/>
    </row>
    <row r="80" spans="2:12" ht="33.5" customHeight="1" x14ac:dyDescent="0.35">
      <c r="B80" s="315"/>
      <c r="C80" s="20">
        <v>2</v>
      </c>
      <c r="D80" s="14" t="s">
        <v>52</v>
      </c>
      <c r="E80" s="14" t="s">
        <v>998</v>
      </c>
      <c r="F80" s="15" t="s">
        <v>1003</v>
      </c>
      <c r="G80" s="5"/>
      <c r="H80" s="14"/>
      <c r="I80" s="23"/>
      <c r="J80" s="14"/>
      <c r="K80" s="14"/>
      <c r="L80" s="17"/>
    </row>
    <row r="81" spans="2:12" ht="43.5" x14ac:dyDescent="0.35">
      <c r="B81" s="315"/>
      <c r="C81" s="19">
        <v>3</v>
      </c>
      <c r="D81" s="14" t="s">
        <v>24</v>
      </c>
      <c r="E81" s="25" t="s">
        <v>57</v>
      </c>
      <c r="F81" s="6" t="s">
        <v>1004</v>
      </c>
      <c r="G81" s="5"/>
      <c r="H81" s="5"/>
      <c r="I81" s="47"/>
      <c r="J81" s="14"/>
      <c r="K81" s="14"/>
      <c r="L81" s="24"/>
    </row>
    <row r="82" spans="2:12" ht="33" customHeight="1" x14ac:dyDescent="0.35">
      <c r="B82" s="316"/>
      <c r="C82" s="20">
        <v>4</v>
      </c>
      <c r="D82" s="14" t="s">
        <v>52</v>
      </c>
      <c r="E82" s="14" t="s">
        <v>998</v>
      </c>
      <c r="F82" s="15" t="s">
        <v>1002</v>
      </c>
      <c r="G82" s="14"/>
      <c r="H82" s="14"/>
      <c r="I82" s="23"/>
      <c r="J82" s="14"/>
      <c r="K82" s="14"/>
      <c r="L82" s="17"/>
    </row>
    <row r="83" spans="2:12" ht="43.5" x14ac:dyDescent="0.35">
      <c r="B83" s="314">
        <v>45623</v>
      </c>
      <c r="C83" s="20">
        <v>1</v>
      </c>
      <c r="D83" s="14" t="s">
        <v>52</v>
      </c>
      <c r="E83" s="5" t="s">
        <v>999</v>
      </c>
      <c r="F83" s="6" t="s">
        <v>1009</v>
      </c>
      <c r="G83" s="14"/>
      <c r="H83" s="14"/>
      <c r="I83" s="23"/>
      <c r="J83" s="14"/>
      <c r="K83" s="14"/>
      <c r="L83" s="17"/>
    </row>
    <row r="84" spans="2:12" ht="50.5" customHeight="1" x14ac:dyDescent="0.35">
      <c r="B84" s="315"/>
      <c r="C84" s="20">
        <v>2</v>
      </c>
      <c r="D84" s="14" t="s">
        <v>52</v>
      </c>
      <c r="E84" s="25" t="s">
        <v>195</v>
      </c>
      <c r="F84" s="15" t="s">
        <v>1010</v>
      </c>
      <c r="G84" s="14" t="s">
        <v>43</v>
      </c>
      <c r="H84" s="14" t="s">
        <v>1011</v>
      </c>
      <c r="I84" s="23"/>
      <c r="J84" s="14"/>
      <c r="K84" s="14"/>
      <c r="L84" s="17"/>
    </row>
    <row r="85" spans="2:12" ht="33" customHeight="1" x14ac:dyDescent="0.35">
      <c r="B85" s="315"/>
      <c r="C85" s="20">
        <v>3</v>
      </c>
      <c r="D85" s="14" t="s">
        <v>52</v>
      </c>
      <c r="E85" s="25" t="s">
        <v>195</v>
      </c>
      <c r="F85" s="15" t="s">
        <v>1012</v>
      </c>
      <c r="G85" s="14" t="s">
        <v>43</v>
      </c>
      <c r="H85" s="14" t="s">
        <v>1011</v>
      </c>
      <c r="I85" s="23"/>
      <c r="J85" s="14"/>
      <c r="K85" s="14"/>
      <c r="L85" s="17"/>
    </row>
    <row r="86" spans="2:12" ht="50.5" customHeight="1" x14ac:dyDescent="0.35">
      <c r="B86" s="315"/>
      <c r="C86" s="20">
        <v>4</v>
      </c>
      <c r="D86" s="14" t="s">
        <v>52</v>
      </c>
      <c r="E86" s="14" t="s">
        <v>996</v>
      </c>
      <c r="F86" s="37" t="s">
        <v>1014</v>
      </c>
      <c r="G86" s="14"/>
      <c r="H86" s="14"/>
      <c r="I86" s="23"/>
      <c r="J86" s="14"/>
      <c r="K86" s="14"/>
      <c r="L86" s="17"/>
    </row>
    <row r="87" spans="2:12" ht="27.5" customHeight="1" x14ac:dyDescent="0.35">
      <c r="B87" s="316"/>
      <c r="C87" s="20">
        <v>5</v>
      </c>
      <c r="D87" s="14" t="s">
        <v>52</v>
      </c>
      <c r="E87" s="14" t="s">
        <v>60</v>
      </c>
      <c r="F87" s="37" t="s">
        <v>1013</v>
      </c>
      <c r="G87" s="14"/>
      <c r="H87" s="14" t="s">
        <v>62</v>
      </c>
      <c r="I87" s="23"/>
      <c r="J87" s="14"/>
      <c r="K87" s="14"/>
      <c r="L87" s="17"/>
    </row>
    <row r="88" spans="2:12" ht="43.5" x14ac:dyDescent="0.35">
      <c r="B88" s="314">
        <v>45624</v>
      </c>
      <c r="C88" s="20">
        <v>1</v>
      </c>
      <c r="D88" s="14" t="s">
        <v>52</v>
      </c>
      <c r="E88" s="14" t="s">
        <v>996</v>
      </c>
      <c r="F88" s="37" t="s">
        <v>1016</v>
      </c>
      <c r="G88" s="14"/>
      <c r="H88" s="14" t="s">
        <v>62</v>
      </c>
      <c r="I88" s="23"/>
      <c r="J88" s="14"/>
      <c r="K88" s="14"/>
      <c r="L88" s="14"/>
    </row>
    <row r="89" spans="2:12" ht="35" customHeight="1" x14ac:dyDescent="0.35">
      <c r="B89" s="315"/>
      <c r="C89" s="20">
        <v>2</v>
      </c>
      <c r="D89" s="14" t="s">
        <v>52</v>
      </c>
      <c r="E89" s="14" t="s">
        <v>996</v>
      </c>
      <c r="F89" s="15" t="s">
        <v>1015</v>
      </c>
      <c r="G89" s="14"/>
      <c r="H89" s="14"/>
      <c r="I89" s="23"/>
      <c r="J89" s="14"/>
      <c r="K89" s="14"/>
      <c r="L89" s="14"/>
    </row>
    <row r="90" spans="2:12" ht="35.5" customHeight="1" x14ac:dyDescent="0.35">
      <c r="B90" s="315"/>
      <c r="C90" s="20">
        <v>3</v>
      </c>
      <c r="D90" s="14" t="s">
        <v>47</v>
      </c>
      <c r="E90" s="14" t="s">
        <v>996</v>
      </c>
      <c r="F90" s="15" t="s">
        <v>1017</v>
      </c>
      <c r="G90" s="14"/>
      <c r="H90" s="14"/>
      <c r="I90" s="23"/>
      <c r="J90" s="14"/>
      <c r="K90" s="14"/>
      <c r="L90" s="17"/>
    </row>
    <row r="91" spans="2:12" ht="34.5" customHeight="1" x14ac:dyDescent="0.35">
      <c r="B91" s="315"/>
      <c r="C91" s="20">
        <v>4</v>
      </c>
      <c r="D91" s="14" t="s">
        <v>24</v>
      </c>
      <c r="E91" s="25" t="s">
        <v>57</v>
      </c>
      <c r="F91" s="6" t="s">
        <v>1000</v>
      </c>
      <c r="G91" s="14" t="s">
        <v>18</v>
      </c>
      <c r="H91" s="14" t="s">
        <v>1018</v>
      </c>
      <c r="I91" s="23"/>
      <c r="J91" s="14"/>
      <c r="K91" s="14"/>
      <c r="L91" s="17"/>
    </row>
    <row r="92" spans="2:12" ht="34.5" customHeight="1" x14ac:dyDescent="0.35">
      <c r="B92" s="316"/>
      <c r="C92" s="20">
        <v>5</v>
      </c>
      <c r="D92" s="14" t="s">
        <v>47</v>
      </c>
      <c r="E92" s="25" t="s">
        <v>57</v>
      </c>
      <c r="F92" s="15" t="s">
        <v>1019</v>
      </c>
      <c r="G92" s="14"/>
      <c r="H92" s="14"/>
      <c r="I92" s="23"/>
      <c r="J92" s="14"/>
      <c r="K92" s="14"/>
      <c r="L92" s="17"/>
    </row>
    <row r="93" spans="2:12" ht="29" x14ac:dyDescent="0.35">
      <c r="B93" s="127">
        <v>45625</v>
      </c>
      <c r="C93" s="20">
        <v>1</v>
      </c>
      <c r="D93" s="14" t="s">
        <v>52</v>
      </c>
      <c r="E93" s="25" t="s">
        <v>1022</v>
      </c>
      <c r="F93" s="15" t="s">
        <v>1008</v>
      </c>
      <c r="G93" s="14"/>
      <c r="H93" s="14"/>
      <c r="I93" s="23"/>
      <c r="J93" s="14"/>
      <c r="K93" s="14"/>
      <c r="L93" s="17"/>
    </row>
    <row r="94" spans="2:12" ht="43.5" x14ac:dyDescent="0.35">
      <c r="B94" s="26"/>
      <c r="C94" s="19">
        <v>2</v>
      </c>
      <c r="D94" s="5" t="s">
        <v>52</v>
      </c>
      <c r="E94" s="5" t="s">
        <v>1021</v>
      </c>
      <c r="F94" s="6" t="s">
        <v>1020</v>
      </c>
      <c r="G94" s="5"/>
      <c r="H94" s="5"/>
      <c r="I94" s="47"/>
      <c r="J94" s="5"/>
      <c r="K94" s="5"/>
      <c r="L94" s="56"/>
    </row>
    <row r="95" spans="2:12" ht="65" customHeight="1" x14ac:dyDescent="0.35">
      <c r="B95" s="26"/>
      <c r="C95" s="20">
        <v>3</v>
      </c>
      <c r="D95" s="14" t="s">
        <v>24</v>
      </c>
      <c r="E95" s="25" t="s">
        <v>57</v>
      </c>
      <c r="F95" s="15" t="s">
        <v>1023</v>
      </c>
      <c r="G95" s="14" t="s">
        <v>11</v>
      </c>
      <c r="H95" s="14" t="s">
        <v>1024</v>
      </c>
      <c r="I95" s="55"/>
      <c r="J95" s="14"/>
      <c r="K95" s="14"/>
      <c r="L95" s="17"/>
    </row>
    <row r="96" spans="2:12" ht="59" customHeight="1" x14ac:dyDescent="0.35">
      <c r="B96" s="26"/>
      <c r="C96" s="19">
        <v>4</v>
      </c>
      <c r="D96" s="5" t="s">
        <v>24</v>
      </c>
      <c r="E96" s="5" t="s">
        <v>14</v>
      </c>
      <c r="F96" s="58" t="s">
        <v>1025</v>
      </c>
      <c r="G96" s="5" t="s">
        <v>46</v>
      </c>
      <c r="H96" s="5" t="s">
        <v>1026</v>
      </c>
      <c r="I96" s="47"/>
      <c r="J96" s="14"/>
      <c r="K96" s="14"/>
      <c r="L96" s="17"/>
    </row>
    <row r="97" spans="2:12" ht="56" customHeight="1" x14ac:dyDescent="0.35">
      <c r="B97" s="65"/>
      <c r="C97" s="20">
        <v>5</v>
      </c>
      <c r="D97" s="14" t="s">
        <v>52</v>
      </c>
      <c r="E97" s="5" t="s">
        <v>14</v>
      </c>
      <c r="F97" s="66" t="s">
        <v>1027</v>
      </c>
      <c r="G97" s="14" t="s">
        <v>11</v>
      </c>
      <c r="H97" s="14" t="s">
        <v>143</v>
      </c>
      <c r="I97" s="23"/>
      <c r="J97" s="14"/>
      <c r="K97" s="47"/>
      <c r="L97" s="14"/>
    </row>
  </sheetData>
  <mergeCells count="27">
    <mergeCell ref="B88:B92"/>
    <mergeCell ref="H5:H6"/>
    <mergeCell ref="I5:K5"/>
    <mergeCell ref="L5:L6"/>
    <mergeCell ref="B7:L7"/>
    <mergeCell ref="B5:B6"/>
    <mergeCell ref="C5:C6"/>
    <mergeCell ref="D5:D6"/>
    <mergeCell ref="E5:E6"/>
    <mergeCell ref="F5:F6"/>
    <mergeCell ref="G5:G6"/>
    <mergeCell ref="B83:B87"/>
    <mergeCell ref="B74:L74"/>
    <mergeCell ref="B75:B78"/>
    <mergeCell ref="B79:B82"/>
    <mergeCell ref="B56:B57"/>
    <mergeCell ref="B17:B20"/>
    <mergeCell ref="B33:L33"/>
    <mergeCell ref="B53:L53"/>
    <mergeCell ref="B21:B24"/>
    <mergeCell ref="B25:B28"/>
    <mergeCell ref="B34:B37"/>
    <mergeCell ref="B44:B45"/>
    <mergeCell ref="B46:B47"/>
    <mergeCell ref="B48:B52"/>
    <mergeCell ref="B29:B32"/>
    <mergeCell ref="B38:B4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08F9-C759-4417-8AAA-BAA02332C1FC}">
  <sheetPr>
    <tabColor rgb="FF00B0F0"/>
  </sheetPr>
  <dimension ref="B1:L103"/>
  <sheetViews>
    <sheetView showGridLines="0" zoomScale="85" zoomScaleNormal="85" workbookViewId="0">
      <pane xSplit="3" ySplit="7" topLeftCell="D90" activePane="bottomRight" state="frozen"/>
      <selection pane="topRight" activeCell="C1" sqref="C1"/>
      <selection pane="bottomLeft" activeCell="A8" sqref="A8"/>
      <selection pane="bottomRight" activeCell="B90" sqref="B90"/>
    </sheetView>
  </sheetViews>
  <sheetFormatPr defaultRowHeight="14.5" x14ac:dyDescent="0.35"/>
  <cols>
    <col min="1" max="1" width="4.08984375" customWidth="1"/>
    <col min="2" max="2" width="29.6328125" bestFit="1" customWidth="1"/>
    <col min="3" max="3" width="5.08984375" customWidth="1"/>
    <col min="4" max="4" width="9.36328125" style="2" customWidth="1"/>
    <col min="5" max="5" width="13" style="2" bestFit="1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37.08984375" style="2" customWidth="1"/>
  </cols>
  <sheetData>
    <row r="1" spans="2:12" x14ac:dyDescent="0.35">
      <c r="B1" s="1" t="s">
        <v>2</v>
      </c>
      <c r="C1" s="18"/>
    </row>
    <row r="2" spans="2:12" x14ac:dyDescent="0.35">
      <c r="B2" s="1" t="s">
        <v>19</v>
      </c>
      <c r="C2" s="1"/>
    </row>
    <row r="3" spans="2:12" x14ac:dyDescent="0.35">
      <c r="B3" s="1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2" s="10" customFormat="1" ht="32" customHeight="1" x14ac:dyDescent="0.35">
      <c r="B8" s="321">
        <v>45566</v>
      </c>
      <c r="C8" s="38">
        <v>1</v>
      </c>
      <c r="D8" s="39" t="s">
        <v>127</v>
      </c>
      <c r="E8" s="41" t="s">
        <v>50</v>
      </c>
      <c r="F8" s="76" t="s">
        <v>820</v>
      </c>
      <c r="G8" s="41" t="s">
        <v>124</v>
      </c>
      <c r="H8" s="41"/>
      <c r="I8" s="47"/>
      <c r="J8" s="47"/>
      <c r="K8" s="54"/>
      <c r="L8" s="76"/>
    </row>
    <row r="9" spans="2:12" s="10" customFormat="1" ht="33" customHeight="1" x14ac:dyDescent="0.35">
      <c r="B9" s="322"/>
      <c r="C9" s="38">
        <v>2</v>
      </c>
      <c r="D9" s="39" t="s">
        <v>52</v>
      </c>
      <c r="E9" s="39" t="s">
        <v>14</v>
      </c>
      <c r="F9" s="40" t="s">
        <v>828</v>
      </c>
      <c r="G9" s="41" t="s">
        <v>829</v>
      </c>
      <c r="H9" s="41"/>
      <c r="I9" s="47"/>
      <c r="J9" s="47"/>
      <c r="K9" s="44"/>
      <c r="L9" s="45"/>
    </row>
    <row r="10" spans="2:12" s="10" customFormat="1" ht="34" customHeight="1" x14ac:dyDescent="0.35">
      <c r="B10" s="77"/>
      <c r="C10" s="38">
        <v>3</v>
      </c>
      <c r="D10" s="39" t="s">
        <v>52</v>
      </c>
      <c r="E10" s="39" t="s">
        <v>50</v>
      </c>
      <c r="F10" s="40" t="s">
        <v>821</v>
      </c>
      <c r="G10" s="41" t="s">
        <v>826</v>
      </c>
      <c r="H10" s="41"/>
      <c r="I10" s="47"/>
      <c r="J10" s="47"/>
      <c r="K10" s="44"/>
      <c r="L10" s="45"/>
    </row>
    <row r="11" spans="2:12" s="10" customFormat="1" ht="34" customHeight="1" x14ac:dyDescent="0.35">
      <c r="B11" s="77"/>
      <c r="C11" s="38">
        <v>4</v>
      </c>
      <c r="D11" s="39" t="s">
        <v>29</v>
      </c>
      <c r="E11" s="39" t="s">
        <v>48</v>
      </c>
      <c r="F11" s="40" t="s">
        <v>830</v>
      </c>
      <c r="G11" s="41"/>
      <c r="H11" s="41"/>
      <c r="I11" s="47"/>
      <c r="J11" s="47"/>
      <c r="K11" s="44"/>
      <c r="L11" s="45"/>
    </row>
    <row r="12" spans="2:12" s="10" customFormat="1" ht="35" customHeight="1" x14ac:dyDescent="0.35">
      <c r="B12" s="314">
        <v>45567</v>
      </c>
      <c r="C12" s="19">
        <v>1</v>
      </c>
      <c r="D12" s="11" t="s">
        <v>24</v>
      </c>
      <c r="E12" s="11" t="s">
        <v>831</v>
      </c>
      <c r="F12" s="6" t="s">
        <v>832</v>
      </c>
      <c r="G12" s="33" t="s">
        <v>18</v>
      </c>
      <c r="H12" s="33" t="s">
        <v>145</v>
      </c>
      <c r="I12" s="5"/>
      <c r="J12" s="8"/>
      <c r="K12" s="8"/>
      <c r="L12" s="9"/>
    </row>
    <row r="13" spans="2:12" s="10" customFormat="1" ht="35" customHeight="1" x14ac:dyDescent="0.35">
      <c r="B13" s="315"/>
      <c r="C13" s="19">
        <v>2</v>
      </c>
      <c r="D13" s="11" t="s">
        <v>29</v>
      </c>
      <c r="E13" s="93" t="s">
        <v>50</v>
      </c>
      <c r="F13" s="6" t="s">
        <v>822</v>
      </c>
      <c r="G13" s="33" t="s">
        <v>110</v>
      </c>
      <c r="H13" s="33"/>
      <c r="I13" s="5"/>
      <c r="J13" s="8"/>
      <c r="K13" s="8"/>
      <c r="L13" s="9"/>
    </row>
    <row r="14" spans="2:12" s="10" customFormat="1" ht="35" customHeight="1" x14ac:dyDescent="0.35">
      <c r="B14" s="315"/>
      <c r="C14" s="11">
        <v>3</v>
      </c>
      <c r="D14" s="5" t="s">
        <v>29</v>
      </c>
      <c r="E14" s="11" t="s">
        <v>48</v>
      </c>
      <c r="F14" s="6" t="s">
        <v>833</v>
      </c>
      <c r="G14" s="33" t="s">
        <v>18</v>
      </c>
      <c r="H14" s="33" t="s">
        <v>31</v>
      </c>
      <c r="I14" s="5"/>
      <c r="J14" s="8"/>
      <c r="K14" s="8"/>
      <c r="L14" s="9"/>
    </row>
    <row r="15" spans="2:12" s="10" customFormat="1" ht="43.5" x14ac:dyDescent="0.35">
      <c r="B15" s="315"/>
      <c r="C15" s="11">
        <v>4</v>
      </c>
      <c r="D15" s="5" t="s">
        <v>52</v>
      </c>
      <c r="E15" s="11" t="s">
        <v>14</v>
      </c>
      <c r="F15" s="6" t="s">
        <v>834</v>
      </c>
      <c r="G15" s="33"/>
      <c r="H15" s="33"/>
      <c r="I15" s="5"/>
      <c r="J15" s="8"/>
      <c r="K15" s="8"/>
      <c r="L15" s="9"/>
    </row>
    <row r="16" spans="2:12" s="10" customFormat="1" ht="43.5" x14ac:dyDescent="0.35">
      <c r="B16" s="315"/>
      <c r="C16" s="11">
        <v>5</v>
      </c>
      <c r="D16" s="5" t="s">
        <v>29</v>
      </c>
      <c r="E16" s="11" t="s">
        <v>14</v>
      </c>
      <c r="F16" s="6" t="s">
        <v>835</v>
      </c>
      <c r="G16" s="33"/>
      <c r="H16" s="33"/>
      <c r="I16" s="5"/>
      <c r="J16" s="8"/>
      <c r="K16" s="8"/>
      <c r="L16" s="9"/>
    </row>
    <row r="17" spans="2:12" s="10" customFormat="1" ht="28" customHeight="1" x14ac:dyDescent="0.35">
      <c r="B17" s="315"/>
      <c r="C17" s="11">
        <v>6</v>
      </c>
      <c r="D17" s="5" t="s">
        <v>52</v>
      </c>
      <c r="E17" s="11" t="s">
        <v>849</v>
      </c>
      <c r="F17" s="6" t="s">
        <v>850</v>
      </c>
      <c r="G17" s="33"/>
      <c r="H17" s="33"/>
      <c r="I17" s="5"/>
      <c r="J17" s="8"/>
      <c r="K17" s="8"/>
      <c r="L17" s="9"/>
    </row>
    <row r="18" spans="2:12" s="10" customFormat="1" ht="51.5" customHeight="1" x14ac:dyDescent="0.35">
      <c r="B18" s="316"/>
      <c r="C18" s="11">
        <v>7</v>
      </c>
      <c r="D18" s="35" t="s">
        <v>52</v>
      </c>
      <c r="E18" s="11" t="s">
        <v>8</v>
      </c>
      <c r="F18" s="6" t="s">
        <v>836</v>
      </c>
      <c r="G18" s="33"/>
      <c r="H18" s="33"/>
      <c r="I18" s="5"/>
      <c r="J18" s="8"/>
      <c r="K18" s="8"/>
      <c r="L18" s="9"/>
    </row>
    <row r="19" spans="2:12" s="10" customFormat="1" ht="34" customHeight="1" x14ac:dyDescent="0.35">
      <c r="B19" s="317">
        <v>45568</v>
      </c>
      <c r="C19" s="19">
        <v>1</v>
      </c>
      <c r="D19" s="11" t="s">
        <v>52</v>
      </c>
      <c r="E19" s="11" t="s">
        <v>837</v>
      </c>
      <c r="F19" s="48" t="s">
        <v>838</v>
      </c>
      <c r="G19" s="49"/>
      <c r="H19" s="49"/>
      <c r="I19" s="34"/>
      <c r="J19" s="46"/>
      <c r="K19" s="46"/>
      <c r="L19" s="50"/>
    </row>
    <row r="20" spans="2:12" s="10" customFormat="1" ht="43.5" x14ac:dyDescent="0.35">
      <c r="B20" s="299"/>
      <c r="C20" s="38">
        <v>2</v>
      </c>
      <c r="D20" s="42" t="s">
        <v>52</v>
      </c>
      <c r="E20" s="42" t="s">
        <v>196</v>
      </c>
      <c r="F20" s="51" t="s">
        <v>839</v>
      </c>
      <c r="G20" s="49"/>
      <c r="H20" s="43"/>
      <c r="I20" s="47"/>
      <c r="J20" s="54"/>
      <c r="K20" s="44"/>
      <c r="L20" s="50"/>
    </row>
    <row r="21" spans="2:12" s="10" customFormat="1" ht="43.5" x14ac:dyDescent="0.35">
      <c r="B21" s="299"/>
      <c r="C21" s="19">
        <v>3</v>
      </c>
      <c r="D21" s="42" t="s">
        <v>52</v>
      </c>
      <c r="E21" s="42" t="s">
        <v>14</v>
      </c>
      <c r="F21" s="6" t="s">
        <v>841</v>
      </c>
      <c r="G21" s="33"/>
      <c r="H21" s="33"/>
      <c r="I21" s="34"/>
      <c r="J21" s="46"/>
      <c r="K21" s="8"/>
      <c r="L21" s="9"/>
    </row>
    <row r="22" spans="2:12" s="10" customFormat="1" ht="36.5" customHeight="1" x14ac:dyDescent="0.35">
      <c r="B22" s="318"/>
      <c r="C22" s="19">
        <v>4</v>
      </c>
      <c r="D22" s="11" t="s">
        <v>52</v>
      </c>
      <c r="E22" s="11" t="s">
        <v>81</v>
      </c>
      <c r="F22" s="40" t="s">
        <v>840</v>
      </c>
      <c r="G22" s="41"/>
      <c r="H22" s="41"/>
      <c r="I22" s="34"/>
      <c r="J22" s="46"/>
      <c r="K22" s="44"/>
      <c r="L22" s="9"/>
    </row>
    <row r="23" spans="2:12" s="10" customFormat="1" ht="43.5" x14ac:dyDescent="0.35">
      <c r="B23" s="63">
        <v>45569</v>
      </c>
      <c r="C23" s="38">
        <v>1</v>
      </c>
      <c r="D23" s="11" t="s">
        <v>844</v>
      </c>
      <c r="E23" s="11" t="s">
        <v>65</v>
      </c>
      <c r="F23" s="40" t="s">
        <v>845</v>
      </c>
      <c r="G23" s="41"/>
      <c r="H23" s="41"/>
      <c r="I23" s="34"/>
      <c r="J23" s="46"/>
      <c r="K23" s="44"/>
      <c r="L23" s="9"/>
    </row>
    <row r="24" spans="2:12" s="10" customFormat="1" ht="29" x14ac:dyDescent="0.35">
      <c r="B24" s="26"/>
      <c r="C24" s="38">
        <v>2</v>
      </c>
      <c r="D24" s="42" t="s">
        <v>24</v>
      </c>
      <c r="E24" s="93" t="s">
        <v>50</v>
      </c>
      <c r="F24" s="40" t="s">
        <v>823</v>
      </c>
      <c r="G24" s="41" t="s">
        <v>824</v>
      </c>
      <c r="H24" s="41"/>
      <c r="I24" s="34"/>
      <c r="J24" s="46"/>
      <c r="K24" s="44"/>
      <c r="L24" s="9"/>
    </row>
    <row r="25" spans="2:12" s="10" customFormat="1" ht="43.5" x14ac:dyDescent="0.35">
      <c r="B25" s="26"/>
      <c r="C25" s="38">
        <v>3</v>
      </c>
      <c r="D25" s="42" t="s">
        <v>52</v>
      </c>
      <c r="E25" s="42" t="s">
        <v>37</v>
      </c>
      <c r="F25" s="40" t="s">
        <v>843</v>
      </c>
      <c r="G25" s="41"/>
      <c r="H25" s="41"/>
      <c r="I25" s="34"/>
      <c r="J25" s="46"/>
      <c r="K25" s="44"/>
      <c r="L25" s="9"/>
    </row>
    <row r="26" spans="2:12" s="10" customFormat="1" ht="43.5" x14ac:dyDescent="0.35">
      <c r="B26" s="26"/>
      <c r="C26" s="38">
        <v>4</v>
      </c>
      <c r="D26" s="42" t="s">
        <v>24</v>
      </c>
      <c r="E26" s="42" t="s">
        <v>50</v>
      </c>
      <c r="F26" s="40" t="s">
        <v>842</v>
      </c>
      <c r="G26" s="41" t="s">
        <v>825</v>
      </c>
      <c r="H26" s="41"/>
      <c r="I26" s="34"/>
      <c r="J26" s="46"/>
      <c r="K26" s="44"/>
      <c r="L26" s="9"/>
    </row>
    <row r="27" spans="2:12" s="3" customFormat="1" ht="22" customHeight="1" x14ac:dyDescent="0.35">
      <c r="B27" s="288" t="s">
        <v>45</v>
      </c>
      <c r="C27" s="288"/>
      <c r="D27" s="288"/>
      <c r="E27" s="288"/>
      <c r="F27" s="288"/>
      <c r="G27" s="288"/>
      <c r="H27" s="288"/>
      <c r="I27" s="288"/>
      <c r="J27" s="288"/>
      <c r="K27" s="288"/>
      <c r="L27" s="290"/>
    </row>
    <row r="28" spans="2:12" s="10" customFormat="1" ht="43.5" x14ac:dyDescent="0.35">
      <c r="B28" s="63">
        <v>45572</v>
      </c>
      <c r="C28" s="38">
        <v>1</v>
      </c>
      <c r="D28" s="42" t="s">
        <v>89</v>
      </c>
      <c r="E28" s="42" t="s">
        <v>37</v>
      </c>
      <c r="F28" s="40" t="s">
        <v>846</v>
      </c>
      <c r="G28" s="41" t="s">
        <v>18</v>
      </c>
      <c r="H28" s="41" t="s">
        <v>112</v>
      </c>
      <c r="I28" s="135"/>
      <c r="J28" s="46"/>
      <c r="K28" s="44"/>
      <c r="L28" s="9"/>
    </row>
    <row r="29" spans="2:12" s="10" customFormat="1" ht="30" customHeight="1" x14ac:dyDescent="0.35">
      <c r="B29" s="63"/>
      <c r="C29" s="38">
        <v>2</v>
      </c>
      <c r="D29" s="42" t="s">
        <v>52</v>
      </c>
      <c r="E29" s="42" t="s">
        <v>14</v>
      </c>
      <c r="F29" s="40" t="s">
        <v>847</v>
      </c>
      <c r="G29" s="41"/>
      <c r="H29" s="41"/>
      <c r="I29" s="34"/>
      <c r="J29" s="135"/>
      <c r="K29" s="44"/>
      <c r="L29" s="9"/>
    </row>
    <row r="30" spans="2:12" s="10" customFormat="1" ht="29" x14ac:dyDescent="0.35">
      <c r="B30" s="26"/>
      <c r="C30" s="38">
        <v>3</v>
      </c>
      <c r="D30" s="42" t="s">
        <v>29</v>
      </c>
      <c r="E30" s="42" t="s">
        <v>50</v>
      </c>
      <c r="F30" s="40" t="s">
        <v>848</v>
      </c>
      <c r="G30" s="41"/>
      <c r="H30" s="41"/>
      <c r="I30" s="34"/>
      <c r="J30" s="46"/>
      <c r="K30" s="135"/>
      <c r="L30" s="9"/>
    </row>
    <row r="31" spans="2:12" s="10" customFormat="1" ht="30" customHeight="1" x14ac:dyDescent="0.35">
      <c r="B31" s="65"/>
      <c r="C31" s="19">
        <v>4</v>
      </c>
      <c r="D31" s="11" t="s">
        <v>52</v>
      </c>
      <c r="E31" s="11" t="s">
        <v>65</v>
      </c>
      <c r="F31" s="6" t="s">
        <v>851</v>
      </c>
      <c r="G31" s="41"/>
      <c r="H31" s="41"/>
      <c r="I31" s="34"/>
      <c r="J31" s="46"/>
      <c r="K31" s="44"/>
      <c r="L31" s="9"/>
    </row>
    <row r="32" spans="2:12" s="10" customFormat="1" ht="30" customHeight="1" x14ac:dyDescent="0.35">
      <c r="B32" s="63">
        <v>45573</v>
      </c>
      <c r="C32" s="20">
        <v>1</v>
      </c>
      <c r="D32" s="86" t="s">
        <v>52</v>
      </c>
      <c r="E32" s="86" t="s">
        <v>110</v>
      </c>
      <c r="F32" s="15" t="s">
        <v>852</v>
      </c>
      <c r="G32" s="41"/>
      <c r="H32" s="41"/>
      <c r="I32" s="47"/>
      <c r="J32" s="83"/>
      <c r="K32" s="84"/>
      <c r="L32" s="172"/>
    </row>
    <row r="33" spans="2:12" s="10" customFormat="1" ht="43.5" x14ac:dyDescent="0.35">
      <c r="B33" s="63"/>
      <c r="C33" s="20">
        <v>2</v>
      </c>
      <c r="D33" s="86" t="s">
        <v>844</v>
      </c>
      <c r="E33" s="86" t="s">
        <v>81</v>
      </c>
      <c r="F33" s="15" t="s">
        <v>853</v>
      </c>
      <c r="G33" s="41"/>
      <c r="H33" s="41"/>
      <c r="I33" s="47"/>
      <c r="J33" s="83"/>
      <c r="K33" s="84"/>
      <c r="L33" s="172"/>
    </row>
    <row r="34" spans="2:12" s="10" customFormat="1" ht="30" customHeight="1" x14ac:dyDescent="0.35">
      <c r="B34" s="63"/>
      <c r="C34" s="20">
        <v>3</v>
      </c>
      <c r="D34" s="86" t="s">
        <v>52</v>
      </c>
      <c r="E34" s="86" t="s">
        <v>737</v>
      </c>
      <c r="F34" s="15" t="s">
        <v>854</v>
      </c>
      <c r="G34" s="41"/>
      <c r="H34" s="41"/>
      <c r="I34" s="47"/>
      <c r="J34" s="83"/>
      <c r="K34" s="84"/>
      <c r="L34" s="172"/>
    </row>
    <row r="35" spans="2:12" s="10" customFormat="1" ht="30" customHeight="1" x14ac:dyDescent="0.35">
      <c r="B35" s="128"/>
      <c r="C35" s="20">
        <v>4</v>
      </c>
      <c r="D35" s="86" t="s">
        <v>52</v>
      </c>
      <c r="E35" s="86" t="s">
        <v>748</v>
      </c>
      <c r="F35" s="15" t="s">
        <v>857</v>
      </c>
      <c r="G35" s="41"/>
      <c r="H35" s="41"/>
      <c r="I35" s="47"/>
      <c r="J35" s="83"/>
      <c r="K35" s="84"/>
      <c r="L35" s="172"/>
    </row>
    <row r="36" spans="2:12" s="10" customFormat="1" ht="47.5" customHeight="1" x14ac:dyDescent="0.35">
      <c r="B36" s="314">
        <v>45574</v>
      </c>
      <c r="C36" s="20">
        <v>1</v>
      </c>
      <c r="D36" s="86" t="s">
        <v>89</v>
      </c>
      <c r="E36" s="86" t="s">
        <v>37</v>
      </c>
      <c r="F36" s="15" t="s">
        <v>846</v>
      </c>
      <c r="G36" s="41"/>
      <c r="H36" s="41"/>
      <c r="I36" s="47"/>
      <c r="J36" s="83"/>
      <c r="K36" s="84"/>
      <c r="L36" s="172"/>
    </row>
    <row r="37" spans="2:12" s="10" customFormat="1" ht="30" customHeight="1" x14ac:dyDescent="0.35">
      <c r="B37" s="315"/>
      <c r="C37" s="20">
        <v>2</v>
      </c>
      <c r="D37" s="86" t="s">
        <v>17</v>
      </c>
      <c r="E37" s="86" t="s">
        <v>76</v>
      </c>
      <c r="F37" s="15" t="s">
        <v>855</v>
      </c>
      <c r="G37" s="41"/>
      <c r="H37" s="41"/>
      <c r="I37" s="47"/>
      <c r="J37" s="83"/>
      <c r="K37" s="84"/>
      <c r="L37" s="172"/>
    </row>
    <row r="38" spans="2:12" s="10" customFormat="1" ht="30" customHeight="1" x14ac:dyDescent="0.35">
      <c r="B38" s="315"/>
      <c r="C38" s="20">
        <v>3</v>
      </c>
      <c r="D38" s="86" t="s">
        <v>52</v>
      </c>
      <c r="E38" s="86" t="s">
        <v>37</v>
      </c>
      <c r="F38" s="15" t="s">
        <v>856</v>
      </c>
      <c r="G38" s="41"/>
      <c r="H38" s="41"/>
      <c r="I38" s="47"/>
      <c r="J38" s="83"/>
      <c r="K38" s="84"/>
      <c r="L38" s="172"/>
    </row>
    <row r="39" spans="2:12" s="10" customFormat="1" ht="30" customHeight="1" x14ac:dyDescent="0.35">
      <c r="B39" s="315"/>
      <c r="C39" s="20">
        <v>4</v>
      </c>
      <c r="D39" s="86" t="s">
        <v>47</v>
      </c>
      <c r="E39" s="86" t="s">
        <v>92</v>
      </c>
      <c r="F39" s="15" t="s">
        <v>868</v>
      </c>
      <c r="G39" s="41"/>
      <c r="H39" s="41"/>
      <c r="I39" s="47"/>
      <c r="J39" s="83"/>
      <c r="K39" s="84"/>
      <c r="L39" s="172"/>
    </row>
    <row r="40" spans="2:12" s="10" customFormat="1" ht="43.5" x14ac:dyDescent="0.35">
      <c r="B40" s="316"/>
      <c r="C40" s="20">
        <v>5</v>
      </c>
      <c r="D40" s="86" t="s">
        <v>52</v>
      </c>
      <c r="E40" s="86" t="s">
        <v>14</v>
      </c>
      <c r="F40" s="15" t="s">
        <v>859</v>
      </c>
      <c r="G40" s="41"/>
      <c r="H40" s="41"/>
      <c r="I40" s="47"/>
      <c r="J40" s="83"/>
      <c r="K40" s="84"/>
      <c r="L40" s="172"/>
    </row>
    <row r="41" spans="2:12" s="10" customFormat="1" ht="30" customHeight="1" x14ac:dyDescent="0.35">
      <c r="B41" s="314">
        <v>45575</v>
      </c>
      <c r="C41" s="20">
        <v>1</v>
      </c>
      <c r="D41" s="86" t="s">
        <v>89</v>
      </c>
      <c r="E41" s="86" t="s">
        <v>8</v>
      </c>
      <c r="F41" s="15" t="s">
        <v>858</v>
      </c>
      <c r="G41" s="41"/>
      <c r="H41" s="41"/>
      <c r="I41" s="47"/>
      <c r="J41" s="83"/>
      <c r="K41" s="84"/>
      <c r="L41" s="172"/>
    </row>
    <row r="42" spans="2:12" s="10" customFormat="1" ht="72.5" x14ac:dyDescent="0.35">
      <c r="B42" s="315"/>
      <c r="C42" s="20">
        <v>2</v>
      </c>
      <c r="D42" s="86" t="s">
        <v>52</v>
      </c>
      <c r="E42" s="86" t="s">
        <v>14</v>
      </c>
      <c r="F42" s="15" t="s">
        <v>860</v>
      </c>
      <c r="G42" s="41"/>
      <c r="H42" s="41"/>
      <c r="I42" s="47"/>
      <c r="J42" s="83"/>
      <c r="K42" s="84"/>
      <c r="L42" s="172"/>
    </row>
    <row r="43" spans="2:12" s="10" customFormat="1" ht="43.5" x14ac:dyDescent="0.35">
      <c r="B43" s="315"/>
      <c r="C43" s="20">
        <v>3</v>
      </c>
      <c r="D43" s="86" t="s">
        <v>52</v>
      </c>
      <c r="E43" s="86" t="s">
        <v>861</v>
      </c>
      <c r="F43" s="15" t="s">
        <v>862</v>
      </c>
      <c r="G43" s="41"/>
      <c r="H43" s="41"/>
      <c r="I43" s="47"/>
      <c r="J43" s="83"/>
      <c r="K43" s="84"/>
      <c r="L43" s="172"/>
    </row>
    <row r="44" spans="2:12" s="10" customFormat="1" ht="58" x14ac:dyDescent="0.35">
      <c r="B44" s="315"/>
      <c r="C44" s="20">
        <v>4</v>
      </c>
      <c r="D44" s="86" t="s">
        <v>29</v>
      </c>
      <c r="E44" s="86" t="s">
        <v>8</v>
      </c>
      <c r="F44" s="15" t="s">
        <v>863</v>
      </c>
      <c r="G44" s="41"/>
      <c r="H44" s="41"/>
      <c r="I44" s="47"/>
      <c r="J44" s="83"/>
      <c r="K44" s="84"/>
      <c r="L44" s="172"/>
    </row>
    <row r="45" spans="2:12" s="10" customFormat="1" ht="43.5" x14ac:dyDescent="0.35">
      <c r="B45" s="316"/>
      <c r="C45" s="20">
        <v>5</v>
      </c>
      <c r="D45" s="86" t="s">
        <v>24</v>
      </c>
      <c r="E45" s="86" t="s">
        <v>864</v>
      </c>
      <c r="F45" s="15" t="s">
        <v>865</v>
      </c>
      <c r="G45" s="41"/>
      <c r="H45" s="41"/>
      <c r="I45" s="47"/>
      <c r="J45" s="83"/>
      <c r="K45" s="84"/>
      <c r="L45" s="172"/>
    </row>
    <row r="46" spans="2:12" s="10" customFormat="1" ht="30" customHeight="1" x14ac:dyDescent="0.35">
      <c r="B46" s="63">
        <v>45576</v>
      </c>
      <c r="C46" s="20">
        <v>1</v>
      </c>
      <c r="D46" s="86" t="s">
        <v>47</v>
      </c>
      <c r="E46" s="86" t="s">
        <v>50</v>
      </c>
      <c r="F46" s="15" t="s">
        <v>827</v>
      </c>
      <c r="G46" s="41" t="s">
        <v>124</v>
      </c>
      <c r="H46" s="41"/>
      <c r="I46" s="47"/>
      <c r="J46" s="83"/>
      <c r="K46" s="84"/>
      <c r="L46" s="172"/>
    </row>
    <row r="47" spans="2:12" s="10" customFormat="1" ht="43.5" x14ac:dyDescent="0.35">
      <c r="B47" s="63"/>
      <c r="C47" s="20">
        <v>2</v>
      </c>
      <c r="D47" s="86" t="s">
        <v>24</v>
      </c>
      <c r="E47" s="86" t="s">
        <v>866</v>
      </c>
      <c r="F47" s="15" t="s">
        <v>867</v>
      </c>
      <c r="G47" s="41"/>
      <c r="H47" s="41"/>
      <c r="I47" s="47"/>
      <c r="J47" s="83"/>
      <c r="K47" s="84"/>
      <c r="L47" s="172"/>
    </row>
    <row r="48" spans="2:12" s="10" customFormat="1" ht="30" customHeight="1" x14ac:dyDescent="0.35">
      <c r="B48" s="63"/>
      <c r="C48" s="20">
        <v>3</v>
      </c>
      <c r="D48" s="86" t="s">
        <v>52</v>
      </c>
      <c r="E48" s="86" t="s">
        <v>748</v>
      </c>
      <c r="F48" s="15" t="s">
        <v>869</v>
      </c>
      <c r="G48" s="41"/>
      <c r="H48" s="41"/>
      <c r="I48" s="47"/>
      <c r="J48" s="83"/>
      <c r="K48" s="84"/>
      <c r="L48" s="172"/>
    </row>
    <row r="49" spans="2:12" s="10" customFormat="1" ht="43.5" x14ac:dyDescent="0.35">
      <c r="B49" s="63"/>
      <c r="C49" s="20">
        <v>4</v>
      </c>
      <c r="D49" s="86" t="s">
        <v>52</v>
      </c>
      <c r="E49" s="86" t="s">
        <v>81</v>
      </c>
      <c r="F49" s="15" t="s">
        <v>870</v>
      </c>
      <c r="G49" s="41"/>
      <c r="H49" s="41"/>
      <c r="I49" s="47"/>
      <c r="J49" s="83"/>
      <c r="K49" s="84"/>
      <c r="L49" s="172"/>
    </row>
    <row r="50" spans="2:12" s="3" customFormat="1" ht="21.5" customHeight="1" x14ac:dyDescent="0.35">
      <c r="B50" s="288" t="s">
        <v>63</v>
      </c>
      <c r="C50" s="288"/>
      <c r="D50" s="288"/>
      <c r="E50" s="288"/>
      <c r="F50" s="288"/>
      <c r="G50" s="288"/>
      <c r="H50" s="288"/>
      <c r="I50" s="288"/>
      <c r="J50" s="288"/>
      <c r="K50" s="288"/>
      <c r="L50" s="290"/>
    </row>
    <row r="51" spans="2:12" ht="43.5" x14ac:dyDescent="0.35">
      <c r="B51" s="127">
        <v>45579</v>
      </c>
      <c r="C51" s="20">
        <v>1</v>
      </c>
      <c r="D51" s="14" t="s">
        <v>52</v>
      </c>
      <c r="E51" s="25" t="s">
        <v>873</v>
      </c>
      <c r="F51" s="15" t="s">
        <v>874</v>
      </c>
      <c r="G51" s="41"/>
      <c r="H51" s="33"/>
      <c r="I51" s="23"/>
      <c r="J51" s="14"/>
      <c r="K51" s="14"/>
      <c r="L51" s="17"/>
    </row>
    <row r="52" spans="2:12" ht="34" customHeight="1" x14ac:dyDescent="0.35">
      <c r="B52" s="63"/>
      <c r="C52" s="20">
        <v>2</v>
      </c>
      <c r="D52" s="14" t="s">
        <v>52</v>
      </c>
      <c r="E52" s="14" t="s">
        <v>48</v>
      </c>
      <c r="F52" s="15" t="s">
        <v>875</v>
      </c>
      <c r="G52" s="41"/>
      <c r="H52" s="25"/>
      <c r="I52" s="23"/>
      <c r="J52" s="14"/>
      <c r="K52" s="14"/>
      <c r="L52" s="17"/>
    </row>
    <row r="53" spans="2:12" ht="43.5" x14ac:dyDescent="0.35">
      <c r="B53" s="63"/>
      <c r="C53" s="20">
        <v>3</v>
      </c>
      <c r="D53" s="14" t="s">
        <v>52</v>
      </c>
      <c r="E53" s="25" t="s">
        <v>278</v>
      </c>
      <c r="F53" s="15" t="s">
        <v>876</v>
      </c>
      <c r="G53" s="41"/>
      <c r="H53" s="25"/>
      <c r="I53" s="23"/>
      <c r="J53" s="14"/>
      <c r="K53" s="14"/>
      <c r="L53" s="17"/>
    </row>
    <row r="54" spans="2:12" ht="43.5" x14ac:dyDescent="0.35">
      <c r="B54" s="63"/>
      <c r="C54" s="20">
        <v>4</v>
      </c>
      <c r="D54" s="14" t="s">
        <v>52</v>
      </c>
      <c r="E54" s="25" t="s">
        <v>8</v>
      </c>
      <c r="F54" s="15" t="s">
        <v>877</v>
      </c>
      <c r="G54" s="41"/>
      <c r="H54" s="25"/>
      <c r="I54" s="23"/>
      <c r="J54" s="14"/>
      <c r="K54" s="14"/>
      <c r="L54" s="17"/>
    </row>
    <row r="55" spans="2:12" ht="30.5" customHeight="1" x14ac:dyDescent="0.35">
      <c r="B55" s="127">
        <v>45580</v>
      </c>
      <c r="C55" s="20">
        <v>1</v>
      </c>
      <c r="D55" s="14" t="s">
        <v>47</v>
      </c>
      <c r="E55" s="25" t="s">
        <v>878</v>
      </c>
      <c r="F55" s="6" t="s">
        <v>815</v>
      </c>
      <c r="G55" s="41" t="s">
        <v>124</v>
      </c>
      <c r="H55" s="14"/>
      <c r="I55" s="23"/>
      <c r="J55" s="14"/>
      <c r="K55" s="14"/>
      <c r="L55" s="17"/>
    </row>
    <row r="56" spans="2:12" ht="43.5" x14ac:dyDescent="0.35">
      <c r="B56" s="63"/>
      <c r="C56" s="19">
        <v>2</v>
      </c>
      <c r="D56" s="14" t="s">
        <v>52</v>
      </c>
      <c r="E56" s="25" t="s">
        <v>8</v>
      </c>
      <c r="F56" s="15" t="s">
        <v>877</v>
      </c>
      <c r="G56" s="41"/>
      <c r="H56" s="14"/>
      <c r="I56" s="23"/>
      <c r="J56" s="14"/>
      <c r="K56" s="14"/>
      <c r="L56" s="17"/>
    </row>
    <row r="57" spans="2:12" ht="32.5" customHeight="1" x14ac:dyDescent="0.35">
      <c r="B57" s="63"/>
      <c r="C57" s="19">
        <v>3</v>
      </c>
      <c r="D57" s="14" t="s">
        <v>52</v>
      </c>
      <c r="E57" s="25" t="s">
        <v>8</v>
      </c>
      <c r="F57" s="15" t="s">
        <v>879</v>
      </c>
      <c r="G57" s="41"/>
      <c r="H57" s="14"/>
      <c r="I57" s="23"/>
      <c r="J57" s="14"/>
      <c r="K57" s="14"/>
      <c r="L57" s="17"/>
    </row>
    <row r="58" spans="2:12" ht="45.5" customHeight="1" x14ac:dyDescent="0.35">
      <c r="B58" s="63"/>
      <c r="C58" s="19">
        <v>4</v>
      </c>
      <c r="D58" s="14" t="s">
        <v>52</v>
      </c>
      <c r="E58" s="25" t="s">
        <v>880</v>
      </c>
      <c r="F58" s="15" t="s">
        <v>881</v>
      </c>
      <c r="G58" s="41"/>
      <c r="H58" s="14"/>
      <c r="I58" s="23"/>
      <c r="J58" s="14"/>
      <c r="K58" s="14"/>
      <c r="L58" s="17"/>
    </row>
    <row r="59" spans="2:12" ht="45.5" customHeight="1" x14ac:dyDescent="0.35">
      <c r="B59" s="63"/>
      <c r="C59" s="88">
        <v>5</v>
      </c>
      <c r="D59" s="14" t="s">
        <v>52</v>
      </c>
      <c r="E59" s="25" t="s">
        <v>48</v>
      </c>
      <c r="F59" s="15" t="s">
        <v>883</v>
      </c>
      <c r="G59" s="41"/>
      <c r="H59" s="14"/>
      <c r="I59" s="23"/>
      <c r="J59" s="14"/>
      <c r="K59" s="14"/>
      <c r="L59" s="17"/>
    </row>
    <row r="60" spans="2:12" ht="77.5" customHeight="1" x14ac:dyDescent="0.35">
      <c r="B60" s="65"/>
      <c r="C60" s="38">
        <v>6</v>
      </c>
      <c r="D60" s="14" t="s">
        <v>29</v>
      </c>
      <c r="E60" s="14" t="s">
        <v>8</v>
      </c>
      <c r="F60" s="15" t="s">
        <v>882</v>
      </c>
      <c r="G60" s="5"/>
      <c r="H60" s="5"/>
      <c r="I60" s="47"/>
      <c r="J60" s="47"/>
      <c r="K60" s="14"/>
      <c r="L60" s="17"/>
    </row>
    <row r="61" spans="2:12" ht="30" customHeight="1" x14ac:dyDescent="0.35">
      <c r="B61" s="127">
        <v>45581</v>
      </c>
      <c r="C61" s="19">
        <v>1</v>
      </c>
      <c r="D61" s="5" t="s">
        <v>29</v>
      </c>
      <c r="E61" s="5" t="s">
        <v>50</v>
      </c>
      <c r="F61" s="15" t="s">
        <v>816</v>
      </c>
      <c r="G61" s="5"/>
      <c r="H61" s="5"/>
      <c r="I61" s="47"/>
      <c r="J61" s="47"/>
      <c r="K61" s="14"/>
      <c r="L61" s="56"/>
    </row>
    <row r="62" spans="2:12" ht="30" customHeight="1" x14ac:dyDescent="0.35">
      <c r="B62" s="63"/>
      <c r="C62" s="20">
        <v>2</v>
      </c>
      <c r="D62" s="39" t="s">
        <v>29</v>
      </c>
      <c r="E62" s="5" t="s">
        <v>8</v>
      </c>
      <c r="F62" s="6" t="s">
        <v>885</v>
      </c>
      <c r="G62" s="5"/>
      <c r="H62" s="14"/>
      <c r="I62" s="83"/>
      <c r="J62" s="83"/>
      <c r="K62" s="14"/>
      <c r="L62" s="123"/>
    </row>
    <row r="63" spans="2:12" ht="31.5" customHeight="1" x14ac:dyDescent="0.35">
      <c r="B63" s="65"/>
      <c r="C63" s="20">
        <v>3</v>
      </c>
      <c r="D63" s="5" t="s">
        <v>29</v>
      </c>
      <c r="E63" s="14" t="s">
        <v>82</v>
      </c>
      <c r="F63" s="15" t="s">
        <v>884</v>
      </c>
      <c r="G63" s="5"/>
      <c r="H63" s="14"/>
      <c r="I63" s="55"/>
      <c r="J63" s="14"/>
      <c r="K63" s="14"/>
      <c r="L63" s="15"/>
    </row>
    <row r="64" spans="2:12" ht="29" x14ac:dyDescent="0.35">
      <c r="B64" s="317">
        <v>45582</v>
      </c>
      <c r="C64" s="20">
        <v>1</v>
      </c>
      <c r="D64" s="14" t="s">
        <v>29</v>
      </c>
      <c r="E64" s="14" t="s">
        <v>82</v>
      </c>
      <c r="F64" s="15" t="s">
        <v>817</v>
      </c>
      <c r="G64" s="14"/>
      <c r="H64" s="14"/>
      <c r="I64" s="23"/>
      <c r="J64" s="14"/>
      <c r="K64" s="14"/>
      <c r="L64" s="14"/>
    </row>
    <row r="65" spans="2:12" ht="48.5" customHeight="1" x14ac:dyDescent="0.35">
      <c r="B65" s="299"/>
      <c r="C65" s="38">
        <v>2</v>
      </c>
      <c r="D65" s="39" t="s">
        <v>52</v>
      </c>
      <c r="E65" s="39" t="s">
        <v>81</v>
      </c>
      <c r="F65" s="40" t="s">
        <v>886</v>
      </c>
      <c r="G65" s="14"/>
      <c r="H65" s="39"/>
      <c r="I65" s="47"/>
      <c r="J65" s="14"/>
      <c r="K65" s="14"/>
      <c r="L65" s="39"/>
    </row>
    <row r="66" spans="2:12" x14ac:dyDescent="0.35">
      <c r="B66" s="299"/>
      <c r="C66" s="306">
        <v>3</v>
      </c>
      <c r="D66" s="297" t="s">
        <v>29</v>
      </c>
      <c r="E66" s="297" t="s">
        <v>42</v>
      </c>
      <c r="F66" s="309" t="s">
        <v>887</v>
      </c>
      <c r="G66" s="297"/>
      <c r="H66" s="297"/>
      <c r="I66" s="328"/>
      <c r="J66" s="328"/>
      <c r="K66" s="328"/>
      <c r="L66" s="323"/>
    </row>
    <row r="67" spans="2:12" ht="34" customHeight="1" x14ac:dyDescent="0.35">
      <c r="B67" s="299"/>
      <c r="C67" s="308"/>
      <c r="D67" s="298"/>
      <c r="E67" s="298"/>
      <c r="F67" s="310"/>
      <c r="G67" s="298"/>
      <c r="H67" s="298"/>
      <c r="I67" s="329"/>
      <c r="J67" s="329"/>
      <c r="K67" s="329"/>
      <c r="L67" s="324"/>
    </row>
    <row r="68" spans="2:12" ht="43.5" x14ac:dyDescent="0.35">
      <c r="B68" s="127">
        <v>45583</v>
      </c>
      <c r="C68" s="20">
        <v>1</v>
      </c>
      <c r="D68" s="14" t="s">
        <v>29</v>
      </c>
      <c r="E68" s="14" t="s">
        <v>50</v>
      </c>
      <c r="F68" s="15" t="s">
        <v>818</v>
      </c>
      <c r="G68" s="5" t="s">
        <v>348</v>
      </c>
      <c r="H68" s="5"/>
      <c r="I68" s="23"/>
      <c r="J68" s="14"/>
      <c r="K68" s="14"/>
      <c r="L68" s="15"/>
    </row>
    <row r="69" spans="2:12" ht="35" customHeight="1" x14ac:dyDescent="0.35">
      <c r="B69" s="26"/>
      <c r="C69" s="19">
        <v>2</v>
      </c>
      <c r="D69" s="14" t="s">
        <v>29</v>
      </c>
      <c r="E69" s="14" t="s">
        <v>14</v>
      </c>
      <c r="F69" s="6" t="s">
        <v>889</v>
      </c>
      <c r="G69" s="14"/>
      <c r="H69" s="14"/>
      <c r="I69" s="47"/>
      <c r="J69" s="5"/>
      <c r="K69" s="39"/>
      <c r="L69" s="45"/>
    </row>
    <row r="70" spans="2:12" ht="30" customHeight="1" x14ac:dyDescent="0.35">
      <c r="B70" s="26"/>
      <c r="C70" s="20">
        <v>3</v>
      </c>
      <c r="D70" s="14" t="s">
        <v>29</v>
      </c>
      <c r="E70" s="14" t="s">
        <v>50</v>
      </c>
      <c r="F70" s="15" t="s">
        <v>819</v>
      </c>
      <c r="G70" s="29"/>
      <c r="H70" s="14"/>
      <c r="I70" s="47"/>
      <c r="J70" s="5"/>
      <c r="K70" s="29"/>
      <c r="L70" s="31"/>
    </row>
    <row r="71" spans="2:12" ht="22.5" customHeight="1" x14ac:dyDescent="0.35">
      <c r="B71" s="288" t="s">
        <v>53</v>
      </c>
      <c r="C71" s="288"/>
      <c r="D71" s="288"/>
      <c r="E71" s="288"/>
      <c r="F71" s="288"/>
      <c r="G71" s="288"/>
      <c r="H71" s="288"/>
      <c r="I71" s="288"/>
      <c r="J71" s="288"/>
      <c r="K71" s="288"/>
      <c r="L71" s="290"/>
    </row>
    <row r="72" spans="2:12" ht="36.5" customHeight="1" x14ac:dyDescent="0.35">
      <c r="B72" s="127">
        <v>45586</v>
      </c>
      <c r="C72" s="20">
        <v>1</v>
      </c>
      <c r="D72" s="14" t="s">
        <v>29</v>
      </c>
      <c r="E72" s="14" t="s">
        <v>82</v>
      </c>
      <c r="F72" s="15" t="s">
        <v>890</v>
      </c>
      <c r="G72" s="14"/>
      <c r="H72" s="14"/>
      <c r="I72" s="23"/>
      <c r="J72" s="14"/>
      <c r="K72" s="14"/>
      <c r="L72" s="17"/>
    </row>
    <row r="73" spans="2:12" ht="39" customHeight="1" x14ac:dyDescent="0.35">
      <c r="B73" s="63"/>
      <c r="C73" s="20">
        <v>2</v>
      </c>
      <c r="D73" s="14"/>
      <c r="E73" s="14"/>
      <c r="F73" s="15" t="s">
        <v>888</v>
      </c>
      <c r="G73" s="14"/>
      <c r="H73" s="14"/>
      <c r="I73" s="23"/>
      <c r="J73" s="14"/>
      <c r="K73" s="14"/>
      <c r="L73" s="17"/>
    </row>
    <row r="74" spans="2:12" ht="38" customHeight="1" x14ac:dyDescent="0.35">
      <c r="B74" s="63"/>
      <c r="C74" s="20">
        <v>3</v>
      </c>
      <c r="D74" s="14"/>
      <c r="E74" s="14"/>
      <c r="F74" s="15" t="s">
        <v>891</v>
      </c>
      <c r="G74" s="14"/>
      <c r="H74" s="14"/>
      <c r="I74" s="23"/>
      <c r="J74" s="14"/>
      <c r="K74" s="14"/>
      <c r="L74" s="17"/>
    </row>
    <row r="75" spans="2:12" ht="42" customHeight="1" x14ac:dyDescent="0.35">
      <c r="B75" s="127">
        <v>45587</v>
      </c>
      <c r="C75" s="20">
        <v>1</v>
      </c>
      <c r="D75" s="14" t="s">
        <v>29</v>
      </c>
      <c r="E75" s="14" t="s">
        <v>48</v>
      </c>
      <c r="F75" s="15" t="s">
        <v>892</v>
      </c>
      <c r="G75" s="14"/>
      <c r="H75" s="14"/>
      <c r="I75" s="23"/>
      <c r="J75" s="14"/>
      <c r="K75" s="14"/>
      <c r="L75" s="17"/>
    </row>
    <row r="76" spans="2:12" ht="47.5" customHeight="1" x14ac:dyDescent="0.35">
      <c r="B76" s="63"/>
      <c r="C76" s="20">
        <v>2</v>
      </c>
      <c r="D76" s="14" t="s">
        <v>89</v>
      </c>
      <c r="E76" s="14" t="s">
        <v>14</v>
      </c>
      <c r="F76" s="15" t="s">
        <v>893</v>
      </c>
      <c r="G76" s="14"/>
      <c r="H76" s="14"/>
      <c r="I76" s="23"/>
      <c r="J76" s="14"/>
      <c r="K76" s="14"/>
      <c r="L76" s="17"/>
    </row>
    <row r="77" spans="2:12" ht="47.5" customHeight="1" x14ac:dyDescent="0.35">
      <c r="B77" s="65"/>
      <c r="C77" s="20">
        <v>3</v>
      </c>
      <c r="D77" s="14" t="s">
        <v>736</v>
      </c>
      <c r="E77" s="14" t="s">
        <v>8</v>
      </c>
      <c r="F77" s="15" t="s">
        <v>894</v>
      </c>
      <c r="G77" s="14"/>
      <c r="H77" s="14"/>
      <c r="I77" s="23"/>
      <c r="J77" s="14"/>
      <c r="K77" s="14"/>
      <c r="L77" s="17"/>
    </row>
    <row r="78" spans="2:12" ht="31.5" customHeight="1" x14ac:dyDescent="0.35">
      <c r="B78" s="317">
        <v>45588</v>
      </c>
      <c r="C78" s="20">
        <v>1</v>
      </c>
      <c r="D78" s="14" t="s">
        <v>29</v>
      </c>
      <c r="E78" s="14" t="s">
        <v>872</v>
      </c>
      <c r="F78" s="15" t="s">
        <v>871</v>
      </c>
      <c r="G78" s="14" t="s">
        <v>448</v>
      </c>
      <c r="H78" s="14"/>
      <c r="I78" s="23"/>
      <c r="J78" s="14"/>
      <c r="K78" s="14"/>
      <c r="L78" s="17"/>
    </row>
    <row r="79" spans="2:12" ht="30" customHeight="1" x14ac:dyDescent="0.35">
      <c r="B79" s="299"/>
      <c r="C79" s="19">
        <v>2</v>
      </c>
      <c r="D79" s="5" t="s">
        <v>487</v>
      </c>
      <c r="E79" s="5" t="s">
        <v>895</v>
      </c>
      <c r="F79" s="58" t="s">
        <v>896</v>
      </c>
      <c r="G79" s="5"/>
      <c r="H79" s="33"/>
      <c r="I79" s="47"/>
      <c r="J79" s="14"/>
      <c r="K79" s="14"/>
      <c r="L79" s="24"/>
    </row>
    <row r="80" spans="2:12" ht="32" customHeight="1" x14ac:dyDescent="0.35">
      <c r="B80" s="299"/>
      <c r="C80" s="19">
        <v>3</v>
      </c>
      <c r="D80" s="5" t="s">
        <v>24</v>
      </c>
      <c r="E80" s="5" t="s">
        <v>831</v>
      </c>
      <c r="F80" s="62" t="s">
        <v>897</v>
      </c>
      <c r="G80" s="5"/>
      <c r="H80" s="33"/>
      <c r="I80" s="47"/>
      <c r="J80" s="14"/>
      <c r="K80" s="14"/>
      <c r="L80" s="24"/>
    </row>
    <row r="81" spans="2:12" ht="34.5" customHeight="1" x14ac:dyDescent="0.35">
      <c r="B81" s="318"/>
      <c r="C81" s="19">
        <v>4</v>
      </c>
      <c r="D81" s="14" t="s">
        <v>24</v>
      </c>
      <c r="E81" s="14" t="s">
        <v>14</v>
      </c>
      <c r="F81" s="15" t="s">
        <v>898</v>
      </c>
      <c r="G81" s="14"/>
      <c r="H81" s="25"/>
      <c r="I81" s="22"/>
      <c r="J81" s="14"/>
      <c r="K81" s="14"/>
      <c r="L81" s="61"/>
    </row>
    <row r="82" spans="2:12" ht="43.5" x14ac:dyDescent="0.35">
      <c r="B82" s="59">
        <v>45589</v>
      </c>
      <c r="C82" s="19">
        <v>1</v>
      </c>
      <c r="D82" s="14" t="s">
        <v>89</v>
      </c>
      <c r="E82" s="14" t="s">
        <v>14</v>
      </c>
      <c r="F82" s="15" t="s">
        <v>899</v>
      </c>
      <c r="G82" s="14"/>
      <c r="H82" s="25"/>
      <c r="I82" s="23"/>
      <c r="J82" s="14"/>
      <c r="K82" s="14"/>
      <c r="L82" s="61"/>
    </row>
    <row r="83" spans="2:12" ht="33" customHeight="1" x14ac:dyDescent="0.35">
      <c r="B83" s="59"/>
      <c r="C83" s="20">
        <v>2</v>
      </c>
      <c r="D83" s="14" t="s">
        <v>47</v>
      </c>
      <c r="E83" s="14" t="s">
        <v>123</v>
      </c>
      <c r="F83" s="15" t="s">
        <v>900</v>
      </c>
      <c r="G83" s="14"/>
      <c r="H83" s="25"/>
      <c r="I83" s="23"/>
      <c r="J83" s="14"/>
      <c r="K83" s="14"/>
      <c r="L83" s="61"/>
    </row>
    <row r="84" spans="2:12" ht="33" customHeight="1" x14ac:dyDescent="0.35">
      <c r="B84" s="134"/>
      <c r="C84" s="20">
        <v>4</v>
      </c>
      <c r="D84" s="14" t="s">
        <v>52</v>
      </c>
      <c r="E84" s="14" t="s">
        <v>78</v>
      </c>
      <c r="F84" s="15" t="s">
        <v>901</v>
      </c>
      <c r="G84" s="14"/>
      <c r="H84" s="25"/>
      <c r="I84" s="23"/>
      <c r="J84" s="14"/>
      <c r="K84" s="14"/>
      <c r="L84" s="61"/>
    </row>
    <row r="85" spans="2:12" ht="43.5" x14ac:dyDescent="0.35">
      <c r="B85" s="59">
        <v>45590</v>
      </c>
      <c r="C85" s="20">
        <v>1</v>
      </c>
      <c r="D85" s="14" t="s">
        <v>52</v>
      </c>
      <c r="E85" s="14" t="s">
        <v>81</v>
      </c>
      <c r="F85" s="15" t="s">
        <v>902</v>
      </c>
      <c r="G85" s="14"/>
      <c r="H85" s="25"/>
      <c r="I85" s="23"/>
      <c r="J85" s="14"/>
      <c r="K85" s="14"/>
      <c r="L85" s="61"/>
    </row>
    <row r="86" spans="2:12" ht="29" x14ac:dyDescent="0.35">
      <c r="B86" s="59"/>
      <c r="C86" s="20">
        <v>2</v>
      </c>
      <c r="D86" s="14" t="s">
        <v>47</v>
      </c>
      <c r="E86" s="14" t="s">
        <v>50</v>
      </c>
      <c r="F86" s="15" t="s">
        <v>908</v>
      </c>
      <c r="G86" s="14"/>
      <c r="H86" s="25"/>
      <c r="I86" s="23"/>
      <c r="J86" s="14"/>
      <c r="K86" s="14"/>
      <c r="L86" s="61"/>
    </row>
    <row r="87" spans="2:12" ht="58" x14ac:dyDescent="0.35">
      <c r="B87" s="103"/>
      <c r="C87" s="20">
        <v>2</v>
      </c>
      <c r="D87" s="14" t="s">
        <v>24</v>
      </c>
      <c r="E87" s="14" t="s">
        <v>8</v>
      </c>
      <c r="F87" s="15" t="s">
        <v>903</v>
      </c>
      <c r="G87" s="14"/>
      <c r="H87" s="25"/>
      <c r="I87" s="23"/>
      <c r="J87" s="14"/>
      <c r="K87" s="14"/>
      <c r="L87" s="61"/>
    </row>
    <row r="88" spans="2:12" s="3" customFormat="1" ht="21.5" customHeight="1" x14ac:dyDescent="0.35">
      <c r="B88" s="288" t="s">
        <v>59</v>
      </c>
      <c r="C88" s="288"/>
      <c r="D88" s="288"/>
      <c r="E88" s="288"/>
      <c r="F88" s="288"/>
      <c r="G88" s="288"/>
      <c r="H88" s="288"/>
      <c r="I88" s="288"/>
      <c r="J88" s="288"/>
      <c r="K88" s="288"/>
      <c r="L88" s="290"/>
    </row>
    <row r="89" spans="2:12" ht="33" customHeight="1" x14ac:dyDescent="0.35">
      <c r="B89" s="59">
        <v>45593</v>
      </c>
      <c r="C89" s="20">
        <v>1</v>
      </c>
      <c r="D89" s="14" t="s">
        <v>52</v>
      </c>
      <c r="E89" s="14" t="s">
        <v>81</v>
      </c>
      <c r="F89" s="15" t="s">
        <v>902</v>
      </c>
      <c r="G89" s="14"/>
      <c r="H89" s="25"/>
      <c r="I89" s="23"/>
      <c r="J89" s="137"/>
      <c r="K89" s="14"/>
      <c r="L89" s="61"/>
    </row>
    <row r="90" spans="2:12" ht="58" x14ac:dyDescent="0.35">
      <c r="B90" s="36"/>
      <c r="C90" s="20">
        <v>2</v>
      </c>
      <c r="D90" s="14" t="s">
        <v>906</v>
      </c>
      <c r="E90" s="14" t="s">
        <v>8</v>
      </c>
      <c r="F90" s="15" t="s">
        <v>903</v>
      </c>
      <c r="G90" s="14"/>
      <c r="H90" s="25"/>
      <c r="I90" s="23"/>
      <c r="J90" s="14"/>
      <c r="K90" s="14"/>
      <c r="L90" s="61"/>
    </row>
    <row r="91" spans="2:12" ht="33" customHeight="1" x14ac:dyDescent="0.35">
      <c r="B91" s="134"/>
      <c r="C91" s="20">
        <v>3</v>
      </c>
      <c r="D91" s="14" t="s">
        <v>47</v>
      </c>
      <c r="E91" s="14" t="s">
        <v>905</v>
      </c>
      <c r="F91" s="15" t="s">
        <v>909</v>
      </c>
      <c r="G91" s="14"/>
      <c r="H91" s="25"/>
      <c r="I91" s="23"/>
      <c r="J91" s="14"/>
      <c r="K91" s="14"/>
      <c r="L91" s="61"/>
    </row>
    <row r="92" spans="2:12" ht="29" x14ac:dyDescent="0.35">
      <c r="B92" s="59">
        <v>45594</v>
      </c>
      <c r="C92" s="20">
        <v>1</v>
      </c>
      <c r="D92" s="14" t="s">
        <v>47</v>
      </c>
      <c r="E92" s="14" t="s">
        <v>905</v>
      </c>
      <c r="F92" s="15" t="s">
        <v>904</v>
      </c>
      <c r="G92" s="14"/>
      <c r="H92" s="25"/>
      <c r="I92" s="23"/>
      <c r="J92" s="14"/>
      <c r="K92" s="137"/>
      <c r="L92" s="61"/>
    </row>
    <row r="93" spans="2:12" ht="36" customHeight="1" x14ac:dyDescent="0.35">
      <c r="B93" s="36"/>
      <c r="C93" s="20">
        <v>2</v>
      </c>
      <c r="D93" s="14" t="s">
        <v>29</v>
      </c>
      <c r="E93" s="14" t="s">
        <v>50</v>
      </c>
      <c r="F93" s="15" t="s">
        <v>907</v>
      </c>
      <c r="G93" s="14"/>
      <c r="H93" s="25"/>
      <c r="I93" s="23"/>
      <c r="J93" s="14"/>
      <c r="K93" s="14"/>
      <c r="L93" s="61"/>
    </row>
    <row r="94" spans="2:12" ht="72.5" x14ac:dyDescent="0.35">
      <c r="B94" s="36"/>
      <c r="C94" s="20">
        <v>3</v>
      </c>
      <c r="D94" s="14" t="s">
        <v>89</v>
      </c>
      <c r="E94" s="14" t="s">
        <v>14</v>
      </c>
      <c r="F94" s="15" t="s">
        <v>910</v>
      </c>
      <c r="G94" s="14"/>
      <c r="H94" s="25"/>
      <c r="I94" s="23"/>
      <c r="J94" s="14"/>
      <c r="K94" s="14"/>
      <c r="L94" s="61"/>
    </row>
    <row r="95" spans="2:12" ht="43.5" x14ac:dyDescent="0.35">
      <c r="B95" s="325">
        <v>45595</v>
      </c>
      <c r="C95" s="20">
        <v>1</v>
      </c>
      <c r="D95" s="14" t="s">
        <v>52</v>
      </c>
      <c r="E95" s="14" t="s">
        <v>8</v>
      </c>
      <c r="F95" s="15" t="s">
        <v>911</v>
      </c>
      <c r="G95" s="14"/>
      <c r="H95" s="14"/>
      <c r="I95" s="23"/>
      <c r="J95" s="14"/>
      <c r="K95" s="137"/>
      <c r="L95" s="17"/>
    </row>
    <row r="96" spans="2:12" ht="58" x14ac:dyDescent="0.35">
      <c r="B96" s="326"/>
      <c r="C96" s="20">
        <v>2</v>
      </c>
      <c r="D96" s="14" t="s">
        <v>52</v>
      </c>
      <c r="E96" s="14" t="s">
        <v>8</v>
      </c>
      <c r="F96" s="15" t="s">
        <v>912</v>
      </c>
      <c r="G96" s="14"/>
      <c r="H96" s="14"/>
      <c r="I96" s="23"/>
      <c r="J96" s="14"/>
      <c r="K96" s="14"/>
      <c r="L96" s="17"/>
    </row>
    <row r="97" spans="2:12" ht="36.5" customHeight="1" x14ac:dyDescent="0.35">
      <c r="B97" s="326"/>
      <c r="C97" s="19">
        <v>3</v>
      </c>
      <c r="D97" s="5" t="s">
        <v>47</v>
      </c>
      <c r="E97" s="5" t="s">
        <v>124</v>
      </c>
      <c r="F97" s="6" t="s">
        <v>904</v>
      </c>
      <c r="G97" s="5"/>
      <c r="H97" s="5"/>
      <c r="I97" s="47"/>
      <c r="J97" s="14"/>
      <c r="K97" s="14"/>
      <c r="L97" s="24"/>
    </row>
    <row r="98" spans="2:12" ht="33" customHeight="1" x14ac:dyDescent="0.35">
      <c r="B98" s="326"/>
      <c r="C98" s="20"/>
      <c r="D98" s="14"/>
      <c r="E98" s="14"/>
      <c r="F98" s="15"/>
      <c r="G98" s="14"/>
      <c r="H98" s="14"/>
      <c r="I98" s="23"/>
      <c r="J98" s="14"/>
      <c r="K98" s="14"/>
      <c r="L98" s="17"/>
    </row>
    <row r="99" spans="2:12" ht="32.5" customHeight="1" x14ac:dyDescent="0.35">
      <c r="B99" s="325">
        <v>45596</v>
      </c>
      <c r="C99" s="20">
        <v>1</v>
      </c>
      <c r="D99" s="14" t="s">
        <v>47</v>
      </c>
      <c r="E99" s="14" t="s">
        <v>124</v>
      </c>
      <c r="F99" s="37" t="s">
        <v>913</v>
      </c>
      <c r="G99" s="5"/>
      <c r="H99" s="14"/>
      <c r="I99" s="23"/>
      <c r="J99" s="14"/>
      <c r="K99" s="14"/>
      <c r="L99" s="14"/>
    </row>
    <row r="100" spans="2:12" ht="28.5" customHeight="1" x14ac:dyDescent="0.35">
      <c r="B100" s="326"/>
      <c r="C100" s="20">
        <v>2</v>
      </c>
      <c r="D100" s="14" t="s">
        <v>29</v>
      </c>
      <c r="E100" s="14" t="s">
        <v>915</v>
      </c>
      <c r="F100" s="15" t="s">
        <v>914</v>
      </c>
      <c r="G100" s="5"/>
      <c r="H100" s="14"/>
      <c r="I100" s="23"/>
      <c r="J100" s="14"/>
      <c r="K100" s="14"/>
      <c r="L100" s="14"/>
    </row>
    <row r="101" spans="2:12" ht="58" x14ac:dyDescent="0.35">
      <c r="B101" s="326"/>
      <c r="C101" s="20">
        <v>3</v>
      </c>
      <c r="D101" s="14" t="s">
        <v>24</v>
      </c>
      <c r="E101" s="14" t="s">
        <v>14</v>
      </c>
      <c r="F101" s="15" t="s">
        <v>916</v>
      </c>
      <c r="G101" s="14"/>
      <c r="H101" s="14"/>
      <c r="I101" s="23"/>
      <c r="J101" s="14"/>
      <c r="K101" s="137"/>
      <c r="L101" s="17"/>
    </row>
    <row r="102" spans="2:12" ht="49" customHeight="1" x14ac:dyDescent="0.35">
      <c r="B102" s="326"/>
      <c r="C102" s="20">
        <v>4</v>
      </c>
      <c r="D102" s="14" t="s">
        <v>86</v>
      </c>
      <c r="E102" s="14" t="s">
        <v>48</v>
      </c>
      <c r="F102" s="15" t="s">
        <v>917</v>
      </c>
      <c r="G102" s="14"/>
      <c r="H102" s="14"/>
      <c r="I102" s="23"/>
      <c r="J102" s="14"/>
      <c r="K102" s="14"/>
      <c r="L102" s="17"/>
    </row>
    <row r="103" spans="2:12" ht="32.5" customHeight="1" x14ac:dyDescent="0.35">
      <c r="B103" s="327"/>
      <c r="C103" s="20">
        <v>5</v>
      </c>
      <c r="D103" s="14" t="s">
        <v>52</v>
      </c>
      <c r="E103" s="25" t="s">
        <v>919</v>
      </c>
      <c r="F103" s="15" t="s">
        <v>918</v>
      </c>
      <c r="G103" s="14"/>
      <c r="H103" s="14"/>
      <c r="I103" s="23"/>
      <c r="J103" s="14"/>
      <c r="K103" s="14"/>
      <c r="L103" s="17"/>
    </row>
  </sheetData>
  <mergeCells count="33">
    <mergeCell ref="I66:I67"/>
    <mergeCell ref="B78:B81"/>
    <mergeCell ref="B71:L71"/>
    <mergeCell ref="B27:L27"/>
    <mergeCell ref="G66:G67"/>
    <mergeCell ref="H66:H67"/>
    <mergeCell ref="J66:J67"/>
    <mergeCell ref="H5:H6"/>
    <mergeCell ref="I5:K5"/>
    <mergeCell ref="L5:L6"/>
    <mergeCell ref="B7:L7"/>
    <mergeCell ref="B5:B6"/>
    <mergeCell ref="C5:C6"/>
    <mergeCell ref="D5:D6"/>
    <mergeCell ref="E5:E6"/>
    <mergeCell ref="F5:F6"/>
    <mergeCell ref="G5:G6"/>
    <mergeCell ref="B8:B9"/>
    <mergeCell ref="B64:B67"/>
    <mergeCell ref="L66:L67"/>
    <mergeCell ref="B99:B103"/>
    <mergeCell ref="B95:B98"/>
    <mergeCell ref="C66:C67"/>
    <mergeCell ref="D66:D67"/>
    <mergeCell ref="E66:E67"/>
    <mergeCell ref="F66:F67"/>
    <mergeCell ref="B88:L88"/>
    <mergeCell ref="B19:B22"/>
    <mergeCell ref="B50:L50"/>
    <mergeCell ref="B12:B18"/>
    <mergeCell ref="B41:B45"/>
    <mergeCell ref="B36:B40"/>
    <mergeCell ref="K66:K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68A9B-F53F-493C-809C-14B21F213D1E}">
  <sheetPr>
    <tabColor rgb="FFE7BFE7"/>
  </sheetPr>
  <dimension ref="B1:L105"/>
  <sheetViews>
    <sheetView showGridLines="0" zoomScale="85" zoomScaleNormal="85" workbookViewId="0">
      <pane xSplit="3" ySplit="7" topLeftCell="D8" activePane="bottomRight" state="frozen"/>
      <selection pane="topRight" activeCell="C1" sqref="C1"/>
      <selection pane="bottomLeft" activeCell="A8" sqref="A8"/>
      <selection pane="bottomRight" activeCell="D10" sqref="D10"/>
    </sheetView>
  </sheetViews>
  <sheetFormatPr defaultRowHeight="14.5" x14ac:dyDescent="0.35"/>
  <cols>
    <col min="1" max="1" width="4.36328125" customWidth="1"/>
    <col min="2" max="2" width="29.6328125" bestFit="1" customWidth="1"/>
    <col min="3" max="3" width="5.08984375" customWidth="1"/>
    <col min="4" max="4" width="9.36328125" style="2" customWidth="1"/>
    <col min="5" max="5" width="13" style="2" bestFit="1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37.08984375" style="2" customWidth="1"/>
  </cols>
  <sheetData>
    <row r="1" spans="2:12" x14ac:dyDescent="0.35">
      <c r="B1" s="1" t="s">
        <v>2</v>
      </c>
      <c r="C1" s="18"/>
    </row>
    <row r="2" spans="2:12" x14ac:dyDescent="0.35">
      <c r="B2" s="1" t="s">
        <v>19</v>
      </c>
      <c r="C2" s="1"/>
    </row>
    <row r="3" spans="2:12" x14ac:dyDescent="0.35">
      <c r="B3" s="1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2" s="10" customFormat="1" ht="43.5" x14ac:dyDescent="0.35">
      <c r="B8" s="311">
        <v>45537</v>
      </c>
      <c r="C8" s="38">
        <v>1</v>
      </c>
      <c r="D8" s="39" t="s">
        <v>29</v>
      </c>
      <c r="E8" s="41" t="s">
        <v>80</v>
      </c>
      <c r="F8" s="76" t="s">
        <v>711</v>
      </c>
      <c r="G8" s="41"/>
      <c r="H8" s="41" t="s">
        <v>31</v>
      </c>
      <c r="I8" s="47"/>
      <c r="J8" s="47"/>
      <c r="K8" s="44"/>
      <c r="L8" s="76"/>
    </row>
    <row r="9" spans="2:12" s="10" customFormat="1" ht="72.5" x14ac:dyDescent="0.35">
      <c r="B9" s="312"/>
      <c r="C9" s="38">
        <v>2</v>
      </c>
      <c r="D9" s="39" t="s">
        <v>52</v>
      </c>
      <c r="E9" s="41" t="s">
        <v>65</v>
      </c>
      <c r="F9" s="76" t="s">
        <v>713</v>
      </c>
      <c r="G9" s="41" t="s">
        <v>29</v>
      </c>
      <c r="H9" s="41" t="s">
        <v>64</v>
      </c>
      <c r="I9" s="47"/>
      <c r="J9" s="47"/>
      <c r="K9" s="44"/>
      <c r="L9" s="76"/>
    </row>
    <row r="10" spans="2:12" s="10" customFormat="1" ht="29" x14ac:dyDescent="0.35">
      <c r="B10" s="312"/>
      <c r="C10" s="38">
        <v>3</v>
      </c>
      <c r="D10" s="39" t="s">
        <v>715</v>
      </c>
      <c r="E10" s="41" t="s">
        <v>80</v>
      </c>
      <c r="F10" s="76" t="s">
        <v>714</v>
      </c>
      <c r="G10" s="41" t="s">
        <v>18</v>
      </c>
      <c r="H10" s="41"/>
      <c r="I10" s="47"/>
      <c r="J10" s="47"/>
      <c r="K10" s="44"/>
      <c r="L10" s="76"/>
    </row>
    <row r="11" spans="2:12" s="10" customFormat="1" ht="34.5" customHeight="1" x14ac:dyDescent="0.35">
      <c r="B11" s="312"/>
      <c r="C11" s="38">
        <v>4</v>
      </c>
      <c r="D11" s="39" t="s">
        <v>29</v>
      </c>
      <c r="E11" s="41" t="s">
        <v>50</v>
      </c>
      <c r="F11" s="76" t="s">
        <v>712</v>
      </c>
      <c r="G11" s="41" t="s">
        <v>308</v>
      </c>
      <c r="H11" s="41"/>
      <c r="I11" s="47"/>
      <c r="J11" s="47"/>
      <c r="K11" s="44"/>
      <c r="L11" s="76"/>
    </row>
    <row r="12" spans="2:12" s="10" customFormat="1" ht="47" customHeight="1" x14ac:dyDescent="0.35">
      <c r="B12" s="312"/>
      <c r="C12" s="38">
        <v>5</v>
      </c>
      <c r="D12" s="39" t="s">
        <v>52</v>
      </c>
      <c r="E12" s="41" t="s">
        <v>81</v>
      </c>
      <c r="F12" s="76" t="s">
        <v>716</v>
      </c>
      <c r="G12" s="41" t="s">
        <v>18</v>
      </c>
      <c r="H12" s="41" t="s">
        <v>75</v>
      </c>
      <c r="I12" s="47"/>
      <c r="J12" s="47"/>
      <c r="K12" s="44"/>
      <c r="L12" s="76"/>
    </row>
    <row r="13" spans="2:12" s="10" customFormat="1" ht="29" x14ac:dyDescent="0.35">
      <c r="B13" s="234">
        <v>45538</v>
      </c>
      <c r="C13" s="38">
        <v>1</v>
      </c>
      <c r="D13" s="39" t="s">
        <v>24</v>
      </c>
      <c r="E13" s="39" t="s">
        <v>50</v>
      </c>
      <c r="F13" s="40" t="s">
        <v>717</v>
      </c>
      <c r="G13" s="41" t="s">
        <v>718</v>
      </c>
      <c r="H13" s="41"/>
      <c r="I13" s="47"/>
      <c r="J13" s="47"/>
      <c r="K13" s="44"/>
      <c r="L13" s="45"/>
    </row>
    <row r="14" spans="2:12" s="10" customFormat="1" ht="58" x14ac:dyDescent="0.35">
      <c r="B14" s="78"/>
      <c r="C14" s="38">
        <v>2</v>
      </c>
      <c r="D14" s="39" t="s">
        <v>24</v>
      </c>
      <c r="E14" s="39" t="s">
        <v>8</v>
      </c>
      <c r="F14" s="40" t="s">
        <v>719</v>
      </c>
      <c r="G14" s="41"/>
      <c r="H14" s="41"/>
      <c r="I14" s="47"/>
      <c r="J14" s="47"/>
      <c r="K14" s="44"/>
      <c r="L14" s="45"/>
    </row>
    <row r="15" spans="2:12" s="10" customFormat="1" ht="36" customHeight="1" x14ac:dyDescent="0.35">
      <c r="B15" s="78"/>
      <c r="C15" s="38">
        <v>3</v>
      </c>
      <c r="D15" s="39" t="s">
        <v>47</v>
      </c>
      <c r="E15" s="39" t="s">
        <v>50</v>
      </c>
      <c r="F15" s="40" t="s">
        <v>717</v>
      </c>
      <c r="G15" s="33" t="s">
        <v>124</v>
      </c>
      <c r="H15" s="41"/>
      <c r="I15" s="47"/>
      <c r="J15" s="47"/>
      <c r="K15" s="44"/>
      <c r="L15" s="45"/>
    </row>
    <row r="16" spans="2:12" s="10" customFormat="1" ht="72.5" x14ac:dyDescent="0.35">
      <c r="B16" s="78"/>
      <c r="C16" s="38">
        <v>4</v>
      </c>
      <c r="D16" s="39" t="s">
        <v>47</v>
      </c>
      <c r="E16" s="39" t="s">
        <v>80</v>
      </c>
      <c r="F16" s="40" t="s">
        <v>720</v>
      </c>
      <c r="G16" s="33" t="s">
        <v>721</v>
      </c>
      <c r="H16" s="41"/>
      <c r="I16" s="47"/>
      <c r="J16" s="47"/>
      <c r="K16" s="44"/>
      <c r="L16" s="45"/>
    </row>
    <row r="17" spans="2:12" s="10" customFormat="1" ht="43.5" x14ac:dyDescent="0.35">
      <c r="B17" s="78"/>
      <c r="C17" s="38">
        <v>5</v>
      </c>
      <c r="D17" s="39" t="s">
        <v>24</v>
      </c>
      <c r="E17" s="41" t="s">
        <v>722</v>
      </c>
      <c r="F17" s="40" t="s">
        <v>723</v>
      </c>
      <c r="G17" s="33" t="s">
        <v>18</v>
      </c>
      <c r="H17" s="41" t="s">
        <v>61</v>
      </c>
      <c r="I17" s="47"/>
      <c r="J17" s="47"/>
      <c r="K17" s="44"/>
      <c r="L17" s="45"/>
    </row>
    <row r="18" spans="2:12" s="10" customFormat="1" ht="34.5" customHeight="1" x14ac:dyDescent="0.35">
      <c r="B18" s="218">
        <v>45539</v>
      </c>
      <c r="C18" s="19">
        <v>1</v>
      </c>
      <c r="D18" s="11" t="s">
        <v>52</v>
      </c>
      <c r="E18" s="11" t="s">
        <v>724</v>
      </c>
      <c r="F18" s="6" t="s">
        <v>725</v>
      </c>
      <c r="G18" s="33" t="s">
        <v>36</v>
      </c>
      <c r="H18" s="33"/>
      <c r="I18" s="5"/>
      <c r="J18" s="8"/>
      <c r="K18" s="8"/>
      <c r="L18" s="9"/>
    </row>
    <row r="19" spans="2:12" s="10" customFormat="1" ht="58" x14ac:dyDescent="0.35">
      <c r="B19" s="77"/>
      <c r="C19" s="38">
        <v>2</v>
      </c>
      <c r="D19" s="42" t="s">
        <v>24</v>
      </c>
      <c r="E19" s="42" t="s">
        <v>80</v>
      </c>
      <c r="F19" s="40" t="s">
        <v>726</v>
      </c>
      <c r="G19" s="33" t="s">
        <v>18</v>
      </c>
      <c r="H19" s="41" t="s">
        <v>88</v>
      </c>
      <c r="I19" s="5"/>
      <c r="J19" s="8"/>
      <c r="K19" s="8"/>
      <c r="L19" s="45"/>
    </row>
    <row r="20" spans="2:12" s="10" customFormat="1" ht="72.5" x14ac:dyDescent="0.35">
      <c r="B20" s="77"/>
      <c r="C20" s="38">
        <v>3</v>
      </c>
      <c r="D20" s="42" t="s">
        <v>52</v>
      </c>
      <c r="E20" s="42" t="s">
        <v>64</v>
      </c>
      <c r="F20" s="40" t="s">
        <v>727</v>
      </c>
      <c r="G20" s="41"/>
      <c r="H20" s="41"/>
      <c r="I20" s="5"/>
      <c r="J20" s="8"/>
      <c r="K20" s="8"/>
      <c r="L20" s="45"/>
    </row>
    <row r="21" spans="2:12" s="10" customFormat="1" ht="29" x14ac:dyDescent="0.35">
      <c r="B21" s="77"/>
      <c r="C21" s="19">
        <v>4</v>
      </c>
      <c r="D21" s="11" t="s">
        <v>52</v>
      </c>
      <c r="E21" s="11" t="s">
        <v>60</v>
      </c>
      <c r="F21" s="6" t="s">
        <v>728</v>
      </c>
      <c r="G21" s="33"/>
      <c r="H21" s="33"/>
      <c r="I21" s="5"/>
      <c r="J21" s="8"/>
      <c r="K21" s="8"/>
      <c r="L21" s="9"/>
    </row>
    <row r="22" spans="2:12" s="10" customFormat="1" ht="29" x14ac:dyDescent="0.35">
      <c r="B22" s="218">
        <v>45540</v>
      </c>
      <c r="C22" s="20">
        <v>1</v>
      </c>
      <c r="D22" s="86" t="s">
        <v>52</v>
      </c>
      <c r="E22" s="151" t="s">
        <v>37</v>
      </c>
      <c r="F22" s="15" t="s">
        <v>628</v>
      </c>
      <c r="G22" s="25"/>
      <c r="H22" s="25"/>
      <c r="I22" s="106"/>
      <c r="J22" s="16"/>
      <c r="K22" s="16"/>
      <c r="L22" s="17"/>
    </row>
    <row r="23" spans="2:12" s="10" customFormat="1" ht="29" x14ac:dyDescent="0.35">
      <c r="B23" s="80"/>
      <c r="C23" s="20">
        <v>2</v>
      </c>
      <c r="D23" s="86" t="s">
        <v>52</v>
      </c>
      <c r="E23" s="151" t="s">
        <v>729</v>
      </c>
      <c r="F23" s="15" t="s">
        <v>730</v>
      </c>
      <c r="G23" s="25"/>
      <c r="H23" s="25"/>
      <c r="I23" s="22"/>
      <c r="J23" s="8"/>
      <c r="K23" s="8"/>
      <c r="L23" s="17"/>
    </row>
    <row r="24" spans="2:12" s="10" customFormat="1" ht="29" x14ac:dyDescent="0.35">
      <c r="B24" s="80"/>
      <c r="C24" s="20">
        <v>3</v>
      </c>
      <c r="D24" s="86" t="s">
        <v>52</v>
      </c>
      <c r="E24" s="151" t="s">
        <v>731</v>
      </c>
      <c r="F24" s="15" t="s">
        <v>732</v>
      </c>
      <c r="G24" s="25"/>
      <c r="H24" s="25"/>
      <c r="I24" s="22"/>
      <c r="J24" s="8"/>
      <c r="K24" s="8"/>
      <c r="L24" s="17"/>
    </row>
    <row r="25" spans="2:12" s="10" customFormat="1" ht="30.5" customHeight="1" x14ac:dyDescent="0.35">
      <c r="B25" s="65"/>
      <c r="C25" s="20">
        <v>4</v>
      </c>
      <c r="D25" s="86" t="s">
        <v>52</v>
      </c>
      <c r="E25" s="151" t="s">
        <v>153</v>
      </c>
      <c r="F25" s="15" t="s">
        <v>733</v>
      </c>
      <c r="G25" s="25"/>
      <c r="H25" s="25"/>
      <c r="I25" s="22"/>
      <c r="J25" s="8"/>
      <c r="K25" s="8"/>
      <c r="L25" s="17"/>
    </row>
    <row r="26" spans="2:12" s="10" customFormat="1" ht="47" customHeight="1" x14ac:dyDescent="0.35">
      <c r="B26" s="101">
        <v>45541</v>
      </c>
      <c r="C26" s="19">
        <v>1</v>
      </c>
      <c r="D26" s="11" t="s">
        <v>47</v>
      </c>
      <c r="E26" s="11" t="s">
        <v>48</v>
      </c>
      <c r="F26" s="6" t="s">
        <v>707</v>
      </c>
      <c r="G26" s="33" t="s">
        <v>18</v>
      </c>
      <c r="H26" s="33" t="s">
        <v>31</v>
      </c>
      <c r="I26" s="5"/>
      <c r="J26" s="8"/>
      <c r="K26" s="8"/>
      <c r="L26" s="6"/>
    </row>
    <row r="27" spans="2:12" s="10" customFormat="1" ht="41" customHeight="1" x14ac:dyDescent="0.35">
      <c r="B27" s="26"/>
      <c r="C27" s="38">
        <v>2</v>
      </c>
      <c r="D27" s="42" t="s">
        <v>24</v>
      </c>
      <c r="E27" s="42" t="s">
        <v>14</v>
      </c>
      <c r="F27" s="51" t="s">
        <v>734</v>
      </c>
      <c r="G27" s="33" t="s">
        <v>18</v>
      </c>
      <c r="H27" s="52" t="s">
        <v>61</v>
      </c>
      <c r="I27" s="47"/>
      <c r="J27" s="47"/>
      <c r="K27" s="47"/>
      <c r="L27" s="53"/>
    </row>
    <row r="28" spans="2:12" s="10" customFormat="1" ht="58" x14ac:dyDescent="0.35">
      <c r="B28" s="26"/>
      <c r="C28" s="38">
        <v>3</v>
      </c>
      <c r="D28" s="42" t="s">
        <v>52</v>
      </c>
      <c r="E28" s="42" t="s">
        <v>8</v>
      </c>
      <c r="F28" s="51" t="s">
        <v>735</v>
      </c>
      <c r="G28" s="33" t="s">
        <v>736</v>
      </c>
      <c r="H28" s="52" t="s">
        <v>31</v>
      </c>
      <c r="I28" s="47"/>
      <c r="J28" s="47"/>
      <c r="K28" s="47"/>
      <c r="L28" s="53"/>
    </row>
    <row r="29" spans="2:12" s="10" customFormat="1" ht="41" customHeight="1" x14ac:dyDescent="0.35">
      <c r="B29" s="26"/>
      <c r="C29" s="38">
        <v>4</v>
      </c>
      <c r="D29" s="42" t="s">
        <v>52</v>
      </c>
      <c r="E29" s="42" t="s">
        <v>737</v>
      </c>
      <c r="F29" s="51" t="s">
        <v>738</v>
      </c>
      <c r="G29" s="33"/>
      <c r="H29" s="52"/>
      <c r="I29" s="47"/>
      <c r="J29" s="47"/>
      <c r="K29" s="47"/>
      <c r="L29" s="53"/>
    </row>
    <row r="30" spans="2:12" s="3" customFormat="1" ht="21.5" customHeight="1" x14ac:dyDescent="0.35">
      <c r="B30" s="288" t="s">
        <v>45</v>
      </c>
      <c r="C30" s="288"/>
      <c r="D30" s="288"/>
      <c r="E30" s="288"/>
      <c r="F30" s="288"/>
      <c r="G30" s="288"/>
      <c r="H30" s="288"/>
      <c r="I30" s="288"/>
      <c r="J30" s="288"/>
      <c r="K30" s="288"/>
      <c r="L30" s="290"/>
    </row>
    <row r="31" spans="2:12" s="10" customFormat="1" ht="41" customHeight="1" x14ac:dyDescent="0.35">
      <c r="B31" s="122">
        <v>45544</v>
      </c>
      <c r="C31" s="38">
        <v>1</v>
      </c>
      <c r="D31" s="42" t="s">
        <v>52</v>
      </c>
      <c r="E31" s="42" t="s">
        <v>140</v>
      </c>
      <c r="F31" s="51" t="s">
        <v>739</v>
      </c>
      <c r="G31" s="33"/>
      <c r="H31" s="52"/>
      <c r="I31" s="47"/>
      <c r="J31" s="47"/>
      <c r="K31" s="47"/>
      <c r="L31" s="53"/>
    </row>
    <row r="32" spans="2:12" s="10" customFormat="1" ht="41" customHeight="1" x14ac:dyDescent="0.35">
      <c r="B32" s="80"/>
      <c r="C32" s="38">
        <v>2</v>
      </c>
      <c r="D32" s="42" t="s">
        <v>52</v>
      </c>
      <c r="E32" s="42" t="s">
        <v>8</v>
      </c>
      <c r="F32" s="51" t="s">
        <v>740</v>
      </c>
      <c r="G32" s="33"/>
      <c r="H32" s="52"/>
      <c r="I32" s="47"/>
      <c r="J32" s="47"/>
      <c r="K32" s="47"/>
      <c r="L32" s="53"/>
    </row>
    <row r="33" spans="2:12" s="10" customFormat="1" ht="41" customHeight="1" x14ac:dyDescent="0.35">
      <c r="B33" s="80"/>
      <c r="C33" s="38">
        <v>3</v>
      </c>
      <c r="D33" s="42" t="s">
        <v>47</v>
      </c>
      <c r="E33" s="42" t="s">
        <v>741</v>
      </c>
      <c r="F33" s="51" t="s">
        <v>709</v>
      </c>
      <c r="G33" s="33"/>
      <c r="H33" s="52"/>
      <c r="I33" s="47"/>
      <c r="J33" s="47"/>
      <c r="K33" s="47"/>
      <c r="L33" s="53"/>
    </row>
    <row r="34" spans="2:12" s="10" customFormat="1" ht="41" customHeight="1" x14ac:dyDescent="0.35">
      <c r="B34" s="80"/>
      <c r="C34" s="38">
        <v>4</v>
      </c>
      <c r="D34" s="42" t="s">
        <v>52</v>
      </c>
      <c r="E34" s="42" t="s">
        <v>743</v>
      </c>
      <c r="F34" s="51" t="s">
        <v>742</v>
      </c>
      <c r="G34" s="33"/>
      <c r="H34" s="52"/>
      <c r="I34" s="47"/>
      <c r="J34" s="47"/>
      <c r="K34" s="47"/>
      <c r="L34" s="53"/>
    </row>
    <row r="35" spans="2:12" s="10" customFormat="1" ht="43.5" x14ac:dyDescent="0.35">
      <c r="B35" s="80"/>
      <c r="C35" s="38">
        <v>5</v>
      </c>
      <c r="D35" s="42" t="s">
        <v>52</v>
      </c>
      <c r="E35" s="42" t="s">
        <v>8</v>
      </c>
      <c r="F35" s="51" t="s">
        <v>744</v>
      </c>
      <c r="G35" s="33" t="s">
        <v>11</v>
      </c>
      <c r="H35" s="52" t="s">
        <v>32</v>
      </c>
      <c r="I35" s="47"/>
      <c r="J35" s="47"/>
      <c r="K35" s="47"/>
      <c r="L35" s="53"/>
    </row>
    <row r="36" spans="2:12" s="10" customFormat="1" ht="41" customHeight="1" x14ac:dyDescent="0.35">
      <c r="B36" s="80"/>
      <c r="C36" s="38">
        <v>6</v>
      </c>
      <c r="D36" s="42" t="s">
        <v>52</v>
      </c>
      <c r="E36" s="93" t="s">
        <v>745</v>
      </c>
      <c r="F36" s="51" t="s">
        <v>746</v>
      </c>
      <c r="G36" s="33"/>
      <c r="H36" s="52"/>
      <c r="I36" s="47"/>
      <c r="J36" s="47"/>
      <c r="K36" s="47"/>
      <c r="L36" s="53"/>
    </row>
    <row r="37" spans="2:12" s="10" customFormat="1" ht="41" customHeight="1" x14ac:dyDescent="0.35">
      <c r="B37" s="80"/>
      <c r="C37" s="38">
        <v>7</v>
      </c>
      <c r="D37" s="42" t="s">
        <v>24</v>
      </c>
      <c r="E37" s="42" t="s">
        <v>599</v>
      </c>
      <c r="F37" s="51" t="s">
        <v>600</v>
      </c>
      <c r="G37" s="33"/>
      <c r="H37" s="52"/>
      <c r="I37" s="47"/>
      <c r="J37" s="47"/>
      <c r="K37" s="47"/>
      <c r="L37" s="53"/>
    </row>
    <row r="38" spans="2:12" s="10" customFormat="1" ht="34" customHeight="1" x14ac:dyDescent="0.35">
      <c r="B38" s="314">
        <v>45545</v>
      </c>
      <c r="C38" s="19">
        <v>1</v>
      </c>
      <c r="D38" s="11" t="s">
        <v>24</v>
      </c>
      <c r="E38" s="95" t="s">
        <v>747</v>
      </c>
      <c r="F38" s="48" t="s">
        <v>707</v>
      </c>
      <c r="G38" s="49"/>
      <c r="H38" s="49"/>
      <c r="I38" s="34"/>
      <c r="J38" s="46"/>
      <c r="K38" s="46"/>
      <c r="L38" s="50"/>
    </row>
    <row r="39" spans="2:12" s="10" customFormat="1" ht="34" customHeight="1" x14ac:dyDescent="0.35">
      <c r="B39" s="315"/>
      <c r="C39" s="38">
        <v>2</v>
      </c>
      <c r="D39" s="42" t="s">
        <v>52</v>
      </c>
      <c r="E39" s="42" t="s">
        <v>748</v>
      </c>
      <c r="F39" s="51" t="s">
        <v>749</v>
      </c>
      <c r="G39" s="49"/>
      <c r="H39" s="43"/>
      <c r="I39" s="47"/>
      <c r="J39" s="54"/>
      <c r="K39" s="44"/>
      <c r="L39" s="50"/>
    </row>
    <row r="40" spans="2:12" s="10" customFormat="1" ht="30" customHeight="1" x14ac:dyDescent="0.35">
      <c r="B40" s="315"/>
      <c r="C40" s="19">
        <v>3</v>
      </c>
      <c r="D40" s="11" t="s">
        <v>52</v>
      </c>
      <c r="E40" s="11" t="s">
        <v>78</v>
      </c>
      <c r="F40" s="6" t="s">
        <v>750</v>
      </c>
      <c r="G40" s="33"/>
      <c r="H40" s="33"/>
      <c r="I40" s="34"/>
      <c r="J40" s="46"/>
      <c r="K40" s="8"/>
      <c r="L40" s="9"/>
    </row>
    <row r="41" spans="2:12" s="10" customFormat="1" ht="30" customHeight="1" x14ac:dyDescent="0.35">
      <c r="B41" s="315"/>
      <c r="C41" s="19">
        <v>4</v>
      </c>
      <c r="D41" s="11" t="s">
        <v>52</v>
      </c>
      <c r="E41" s="11" t="s">
        <v>637</v>
      </c>
      <c r="F41" s="40" t="s">
        <v>751</v>
      </c>
      <c r="G41" s="41"/>
      <c r="H41" s="41"/>
      <c r="I41" s="34"/>
      <c r="J41" s="46"/>
      <c r="K41" s="44"/>
      <c r="L41" s="9"/>
    </row>
    <row r="42" spans="2:12" s="10" customFormat="1" ht="30" customHeight="1" x14ac:dyDescent="0.35">
      <c r="B42" s="315"/>
      <c r="C42" s="38">
        <v>5</v>
      </c>
      <c r="D42" s="11" t="s">
        <v>29</v>
      </c>
      <c r="E42" s="11" t="s">
        <v>70</v>
      </c>
      <c r="F42" s="40" t="s">
        <v>752</v>
      </c>
      <c r="G42" s="41"/>
      <c r="H42" s="41"/>
      <c r="I42" s="34"/>
      <c r="J42" s="46"/>
      <c r="K42" s="44"/>
      <c r="L42" s="9"/>
    </row>
    <row r="43" spans="2:12" s="10" customFormat="1" ht="43.5" x14ac:dyDescent="0.35">
      <c r="B43" s="316"/>
      <c r="C43" s="38">
        <v>6</v>
      </c>
      <c r="D43" s="11" t="s">
        <v>52</v>
      </c>
      <c r="E43" s="11" t="s">
        <v>8</v>
      </c>
      <c r="F43" s="40" t="s">
        <v>753</v>
      </c>
      <c r="G43" s="41"/>
      <c r="H43" s="41"/>
      <c r="I43" s="34"/>
      <c r="J43" s="46"/>
      <c r="K43" s="44"/>
      <c r="L43" s="9"/>
    </row>
    <row r="44" spans="2:12" s="10" customFormat="1" ht="29" x14ac:dyDescent="0.35">
      <c r="B44" s="314">
        <v>45546</v>
      </c>
      <c r="C44" s="38">
        <v>1</v>
      </c>
      <c r="D44" s="11" t="s">
        <v>24</v>
      </c>
      <c r="E44" s="11" t="s">
        <v>50</v>
      </c>
      <c r="F44" s="40" t="s">
        <v>707</v>
      </c>
      <c r="G44" s="41" t="s">
        <v>759</v>
      </c>
      <c r="H44" s="41"/>
      <c r="I44" s="34"/>
      <c r="J44" s="46"/>
      <c r="K44" s="44"/>
      <c r="L44" s="9"/>
    </row>
    <row r="45" spans="2:12" s="10" customFormat="1" ht="43.5" x14ac:dyDescent="0.35">
      <c r="B45" s="315"/>
      <c r="C45" s="38">
        <v>1</v>
      </c>
      <c r="D45" s="11" t="s">
        <v>24</v>
      </c>
      <c r="E45" s="11" t="s">
        <v>97</v>
      </c>
      <c r="F45" s="40" t="s">
        <v>754</v>
      </c>
      <c r="G45" s="41"/>
      <c r="H45" s="41"/>
      <c r="I45" s="34"/>
      <c r="J45" s="46"/>
      <c r="K45" s="44"/>
      <c r="L45" s="9"/>
    </row>
    <row r="46" spans="2:12" s="10" customFormat="1" ht="29" x14ac:dyDescent="0.35">
      <c r="B46" s="26"/>
      <c r="C46" s="38">
        <v>2</v>
      </c>
      <c r="D46" s="42" t="s">
        <v>29</v>
      </c>
      <c r="E46" s="93" t="s">
        <v>110</v>
      </c>
      <c r="F46" s="40" t="s">
        <v>710</v>
      </c>
      <c r="G46" s="41"/>
      <c r="H46" s="41"/>
      <c r="I46" s="34"/>
      <c r="J46" s="46"/>
      <c r="K46" s="44"/>
      <c r="L46" s="9"/>
    </row>
    <row r="47" spans="2:12" s="10" customFormat="1" ht="43.5" x14ac:dyDescent="0.35">
      <c r="B47" s="26"/>
      <c r="C47" s="38">
        <v>3</v>
      </c>
      <c r="D47" s="42" t="s">
        <v>52</v>
      </c>
      <c r="E47" s="42" t="s">
        <v>755</v>
      </c>
      <c r="F47" s="40" t="s">
        <v>756</v>
      </c>
      <c r="G47" s="41"/>
      <c r="H47" s="41"/>
      <c r="I47" s="34"/>
      <c r="J47" s="46"/>
      <c r="K47" s="44"/>
      <c r="L47" s="9"/>
    </row>
    <row r="48" spans="2:12" s="10" customFormat="1" ht="43.5" x14ac:dyDescent="0.35">
      <c r="B48" s="26"/>
      <c r="C48" s="38">
        <v>4</v>
      </c>
      <c r="D48" s="42" t="s">
        <v>52</v>
      </c>
      <c r="E48" s="42" t="s">
        <v>35</v>
      </c>
      <c r="F48" s="40" t="s">
        <v>757</v>
      </c>
      <c r="G48" s="41"/>
      <c r="H48" s="41"/>
      <c r="I48" s="34"/>
      <c r="J48" s="46"/>
      <c r="K48" s="44"/>
      <c r="L48" s="9"/>
    </row>
    <row r="49" spans="2:12" s="10" customFormat="1" ht="43.5" x14ac:dyDescent="0.35">
      <c r="B49" s="314">
        <v>45547</v>
      </c>
      <c r="C49" s="38">
        <v>1</v>
      </c>
      <c r="D49" s="42" t="s">
        <v>52</v>
      </c>
      <c r="E49" s="42" t="s">
        <v>8</v>
      </c>
      <c r="F49" s="40" t="s">
        <v>758</v>
      </c>
      <c r="G49" s="41"/>
      <c r="H49" s="41"/>
      <c r="I49" s="34"/>
      <c r="J49" s="46"/>
      <c r="K49" s="44"/>
      <c r="L49" s="9"/>
    </row>
    <row r="50" spans="2:12" s="10" customFormat="1" ht="43.5" x14ac:dyDescent="0.35">
      <c r="B50" s="315"/>
      <c r="C50" s="38">
        <v>2</v>
      </c>
      <c r="D50" s="42" t="s">
        <v>52</v>
      </c>
      <c r="E50" s="42" t="s">
        <v>64</v>
      </c>
      <c r="F50" s="40" t="s">
        <v>760</v>
      </c>
      <c r="G50" s="41"/>
      <c r="H50" s="41"/>
      <c r="I50" s="34"/>
      <c r="J50" s="46"/>
      <c r="K50" s="44"/>
      <c r="L50" s="9"/>
    </row>
    <row r="51" spans="2:12" s="10" customFormat="1" ht="30" customHeight="1" x14ac:dyDescent="0.35">
      <c r="B51" s="316"/>
      <c r="C51" s="38">
        <v>3</v>
      </c>
      <c r="D51" s="42" t="s">
        <v>52</v>
      </c>
      <c r="E51" s="93" t="s">
        <v>278</v>
      </c>
      <c r="F51" s="40" t="s">
        <v>761</v>
      </c>
      <c r="G51" s="41"/>
      <c r="H51" s="41"/>
      <c r="I51" s="34"/>
      <c r="J51" s="46"/>
      <c r="K51" s="44"/>
      <c r="L51" s="9"/>
    </row>
    <row r="52" spans="2:12" s="10" customFormat="1" ht="30" customHeight="1" x14ac:dyDescent="0.35">
      <c r="B52" s="314">
        <v>45548</v>
      </c>
      <c r="C52" s="38">
        <v>1</v>
      </c>
      <c r="D52" s="42" t="s">
        <v>116</v>
      </c>
      <c r="E52" s="93" t="s">
        <v>708</v>
      </c>
      <c r="F52" s="40" t="s">
        <v>707</v>
      </c>
      <c r="G52" s="41"/>
      <c r="H52" s="41"/>
      <c r="I52" s="34"/>
      <c r="J52" s="46"/>
      <c r="K52" s="44"/>
      <c r="L52" s="9"/>
    </row>
    <row r="53" spans="2:12" s="10" customFormat="1" ht="32.5" customHeight="1" x14ac:dyDescent="0.35">
      <c r="B53" s="315"/>
      <c r="C53" s="38">
        <v>2</v>
      </c>
      <c r="D53" s="42" t="s">
        <v>52</v>
      </c>
      <c r="E53" s="42" t="s">
        <v>762</v>
      </c>
      <c r="F53" s="40" t="s">
        <v>763</v>
      </c>
      <c r="G53" s="41"/>
      <c r="H53" s="41"/>
      <c r="I53" s="34"/>
      <c r="J53" s="46"/>
      <c r="K53" s="44"/>
      <c r="L53" s="9"/>
    </row>
    <row r="54" spans="2:12" s="10" customFormat="1" ht="30" customHeight="1" x14ac:dyDescent="0.35">
      <c r="B54" s="315"/>
      <c r="C54" s="38">
        <v>3</v>
      </c>
      <c r="D54" s="42" t="s">
        <v>52</v>
      </c>
      <c r="E54" s="42" t="s">
        <v>48</v>
      </c>
      <c r="F54" s="40" t="s">
        <v>764</v>
      </c>
      <c r="G54" s="41"/>
      <c r="H54" s="41"/>
      <c r="I54" s="34"/>
      <c r="J54" s="46"/>
      <c r="K54" s="44"/>
      <c r="L54" s="9"/>
    </row>
    <row r="55" spans="2:12" s="10" customFormat="1" ht="43.5" x14ac:dyDescent="0.35">
      <c r="B55" s="315"/>
      <c r="C55" s="38">
        <v>4</v>
      </c>
      <c r="D55" s="42" t="s">
        <v>52</v>
      </c>
      <c r="E55" s="42" t="s">
        <v>748</v>
      </c>
      <c r="F55" s="40" t="s">
        <v>765</v>
      </c>
      <c r="G55" s="41"/>
      <c r="H55" s="41"/>
      <c r="I55" s="34"/>
      <c r="J55" s="46"/>
      <c r="K55" s="44"/>
      <c r="L55" s="9"/>
    </row>
    <row r="56" spans="2:12" s="3" customFormat="1" ht="22" customHeight="1" x14ac:dyDescent="0.35">
      <c r="B56" s="235" t="s">
        <v>63</v>
      </c>
      <c r="C56" s="235"/>
      <c r="D56" s="235"/>
      <c r="E56" s="235"/>
      <c r="F56" s="235"/>
      <c r="G56" s="235"/>
      <c r="H56" s="235"/>
      <c r="I56" s="235"/>
      <c r="J56" s="235"/>
      <c r="K56" s="235"/>
      <c r="L56" s="236"/>
    </row>
    <row r="57" spans="2:12" ht="21" customHeight="1" x14ac:dyDescent="0.35">
      <c r="B57" s="122">
        <v>45551</v>
      </c>
      <c r="C57" s="20"/>
      <c r="D57" s="14"/>
      <c r="E57" s="14"/>
      <c r="F57" s="15" t="s">
        <v>702</v>
      </c>
      <c r="G57" s="33"/>
      <c r="H57" s="33"/>
      <c r="I57" s="23"/>
      <c r="J57" s="14"/>
      <c r="K57" s="14"/>
      <c r="L57" s="17"/>
    </row>
    <row r="58" spans="2:12" ht="33.5" customHeight="1" x14ac:dyDescent="0.35">
      <c r="B58" s="122">
        <v>45552</v>
      </c>
      <c r="C58" s="20">
        <v>1</v>
      </c>
      <c r="D58" s="14" t="s">
        <v>47</v>
      </c>
      <c r="E58" s="25" t="s">
        <v>706</v>
      </c>
      <c r="F58" s="15" t="s">
        <v>705</v>
      </c>
      <c r="G58" s="12"/>
      <c r="H58" s="14"/>
      <c r="I58" s="23"/>
      <c r="J58" s="14"/>
      <c r="K58" s="14"/>
      <c r="L58" s="17"/>
    </row>
    <row r="59" spans="2:12" ht="29" x14ac:dyDescent="0.35">
      <c r="B59" s="26"/>
      <c r="C59" s="38">
        <v>2</v>
      </c>
      <c r="D59" s="14" t="s">
        <v>47</v>
      </c>
      <c r="E59" s="14" t="s">
        <v>50</v>
      </c>
      <c r="F59" s="15" t="s">
        <v>766</v>
      </c>
      <c r="G59" s="5"/>
      <c r="H59" s="39"/>
      <c r="I59" s="47"/>
      <c r="J59" s="47"/>
      <c r="K59" s="14"/>
      <c r="L59" s="17"/>
    </row>
    <row r="60" spans="2:12" ht="43.5" x14ac:dyDescent="0.35">
      <c r="B60" s="26"/>
      <c r="C60" s="19">
        <v>3</v>
      </c>
      <c r="D60" s="5" t="s">
        <v>24</v>
      </c>
      <c r="E60" s="5" t="s">
        <v>80</v>
      </c>
      <c r="F60" s="6" t="s">
        <v>767</v>
      </c>
      <c r="G60" s="5"/>
      <c r="H60" s="5"/>
      <c r="I60" s="47"/>
      <c r="J60" s="47"/>
      <c r="K60" s="14"/>
      <c r="L60" s="56"/>
    </row>
    <row r="61" spans="2:12" ht="34.5" customHeight="1" x14ac:dyDescent="0.35">
      <c r="B61" s="26"/>
      <c r="C61" s="20">
        <v>4</v>
      </c>
      <c r="D61" s="5" t="s">
        <v>47</v>
      </c>
      <c r="E61" s="14" t="s">
        <v>80</v>
      </c>
      <c r="F61" s="15" t="s">
        <v>768</v>
      </c>
      <c r="G61" s="5"/>
      <c r="H61" s="14"/>
      <c r="I61" s="55"/>
      <c r="J61" s="14"/>
      <c r="K61" s="14"/>
      <c r="L61" s="15"/>
    </row>
    <row r="62" spans="2:12" ht="43.5" x14ac:dyDescent="0.35">
      <c r="B62" s="26"/>
      <c r="C62" s="38">
        <v>5</v>
      </c>
      <c r="D62" s="39" t="s">
        <v>89</v>
      </c>
      <c r="E62" s="39" t="s">
        <v>37</v>
      </c>
      <c r="F62" s="40" t="s">
        <v>769</v>
      </c>
      <c r="G62" s="5" t="s">
        <v>18</v>
      </c>
      <c r="H62" s="39" t="s">
        <v>36</v>
      </c>
      <c r="I62" s="47"/>
      <c r="J62" s="14"/>
      <c r="K62" s="14"/>
      <c r="L62" s="45"/>
    </row>
    <row r="63" spans="2:12" ht="36" customHeight="1" x14ac:dyDescent="0.35">
      <c r="B63" s="26"/>
      <c r="C63" s="19">
        <v>6</v>
      </c>
      <c r="D63" s="5" t="s">
        <v>52</v>
      </c>
      <c r="E63" s="5" t="s">
        <v>665</v>
      </c>
      <c r="F63" s="6" t="s">
        <v>770</v>
      </c>
      <c r="G63" s="5" t="s">
        <v>18</v>
      </c>
      <c r="H63" s="5" t="s">
        <v>64</v>
      </c>
      <c r="I63" s="21"/>
      <c r="J63" s="14"/>
      <c r="K63" s="14"/>
      <c r="L63" s="39"/>
    </row>
    <row r="64" spans="2:12" ht="49.5" customHeight="1" x14ac:dyDescent="0.35">
      <c r="B64" s="317">
        <v>45553</v>
      </c>
      <c r="C64" s="20">
        <v>1</v>
      </c>
      <c r="D64" s="14" t="s">
        <v>95</v>
      </c>
      <c r="E64" s="14" t="s">
        <v>50</v>
      </c>
      <c r="F64" s="15" t="s">
        <v>704</v>
      </c>
      <c r="G64" s="14"/>
      <c r="H64" s="14"/>
      <c r="I64" s="23"/>
      <c r="J64" s="14"/>
      <c r="K64" s="14"/>
      <c r="L64" s="14"/>
    </row>
    <row r="65" spans="2:12" ht="43.5" x14ac:dyDescent="0.35">
      <c r="B65" s="299"/>
      <c r="C65" s="38">
        <v>2</v>
      </c>
      <c r="D65" s="39" t="s">
        <v>52</v>
      </c>
      <c r="E65" s="39" t="s">
        <v>8</v>
      </c>
      <c r="F65" s="40" t="s">
        <v>771</v>
      </c>
      <c r="G65" s="39" t="s">
        <v>30</v>
      </c>
      <c r="H65" s="39" t="s">
        <v>31</v>
      </c>
      <c r="I65" s="47"/>
      <c r="J65" s="14"/>
      <c r="K65" s="14"/>
      <c r="L65" s="39"/>
    </row>
    <row r="66" spans="2:12" x14ac:dyDescent="0.35">
      <c r="B66" s="299"/>
      <c r="C66" s="306">
        <v>3</v>
      </c>
      <c r="D66" s="297" t="s">
        <v>24</v>
      </c>
      <c r="E66" s="297" t="s">
        <v>599</v>
      </c>
      <c r="F66" s="309" t="s">
        <v>772</v>
      </c>
      <c r="G66" s="297" t="s">
        <v>18</v>
      </c>
      <c r="H66" s="297" t="s">
        <v>773</v>
      </c>
      <c r="I66" s="328"/>
      <c r="J66" s="328"/>
      <c r="K66" s="328"/>
      <c r="L66" s="323"/>
    </row>
    <row r="67" spans="2:12" x14ac:dyDescent="0.35">
      <c r="B67" s="299"/>
      <c r="C67" s="308"/>
      <c r="D67" s="298"/>
      <c r="E67" s="298"/>
      <c r="F67" s="310"/>
      <c r="G67" s="298"/>
      <c r="H67" s="298"/>
      <c r="I67" s="329"/>
      <c r="J67" s="329"/>
      <c r="K67" s="329"/>
      <c r="L67" s="324"/>
    </row>
    <row r="68" spans="2:12" ht="33.5" customHeight="1" x14ac:dyDescent="0.35">
      <c r="B68" s="299"/>
      <c r="C68" s="20"/>
      <c r="D68" s="14"/>
      <c r="E68" s="14"/>
      <c r="F68" s="15"/>
      <c r="G68" s="14"/>
      <c r="H68" s="14"/>
      <c r="I68" s="23"/>
      <c r="J68" s="14"/>
      <c r="K68" s="14"/>
      <c r="L68" s="17"/>
    </row>
    <row r="69" spans="2:12" ht="38" customHeight="1" x14ac:dyDescent="0.35">
      <c r="B69" s="57">
        <v>45554</v>
      </c>
      <c r="C69" s="20">
        <v>1</v>
      </c>
      <c r="D69" s="14" t="s">
        <v>24</v>
      </c>
      <c r="E69" s="14" t="s">
        <v>50</v>
      </c>
      <c r="F69" s="15" t="s">
        <v>703</v>
      </c>
      <c r="G69" s="14"/>
      <c r="H69" s="14"/>
      <c r="I69" s="23"/>
      <c r="J69" s="14"/>
      <c r="K69" s="14"/>
      <c r="L69" s="9"/>
    </row>
    <row r="70" spans="2:12" ht="43.5" x14ac:dyDescent="0.35">
      <c r="B70" s="36"/>
      <c r="C70" s="20">
        <v>2</v>
      </c>
      <c r="D70" s="14" t="s">
        <v>52</v>
      </c>
      <c r="E70" s="14" t="s">
        <v>8</v>
      </c>
      <c r="F70" s="15" t="s">
        <v>771</v>
      </c>
      <c r="G70" s="14"/>
      <c r="H70" s="14"/>
      <c r="I70" s="23"/>
      <c r="J70" s="14"/>
      <c r="K70" s="14"/>
      <c r="L70" s="15"/>
    </row>
    <row r="71" spans="2:12" ht="35.5" customHeight="1" x14ac:dyDescent="0.35">
      <c r="B71" s="36"/>
      <c r="C71" s="20">
        <v>3</v>
      </c>
      <c r="D71" s="14" t="s">
        <v>47</v>
      </c>
      <c r="E71" s="14" t="s">
        <v>48</v>
      </c>
      <c r="F71" s="15" t="s">
        <v>774</v>
      </c>
      <c r="G71" s="14"/>
      <c r="H71" s="14"/>
      <c r="I71" s="23"/>
      <c r="J71" s="14"/>
      <c r="K71" s="14"/>
      <c r="L71" s="15"/>
    </row>
    <row r="72" spans="2:12" ht="58" x14ac:dyDescent="0.35">
      <c r="B72" s="36"/>
      <c r="C72" s="19">
        <v>4</v>
      </c>
      <c r="D72" s="14" t="s">
        <v>29</v>
      </c>
      <c r="E72" s="14" t="s">
        <v>8</v>
      </c>
      <c r="F72" s="6" t="s">
        <v>775</v>
      </c>
      <c r="G72" s="14"/>
      <c r="H72" s="14"/>
      <c r="I72" s="21"/>
      <c r="J72" s="39"/>
      <c r="K72" s="39"/>
      <c r="L72" s="45"/>
    </row>
    <row r="73" spans="2:12" ht="58" x14ac:dyDescent="0.35">
      <c r="B73" s="134"/>
      <c r="C73" s="20">
        <v>5</v>
      </c>
      <c r="D73" s="14" t="s">
        <v>52</v>
      </c>
      <c r="E73" s="14" t="s">
        <v>195</v>
      </c>
      <c r="F73" s="15" t="s">
        <v>776</v>
      </c>
      <c r="G73" s="29"/>
      <c r="H73" s="14"/>
      <c r="I73" s="21"/>
      <c r="J73" s="29"/>
      <c r="K73" s="29"/>
      <c r="L73" s="31"/>
    </row>
    <row r="74" spans="2:12" ht="43.5" x14ac:dyDescent="0.35">
      <c r="B74" s="57">
        <v>45555</v>
      </c>
      <c r="C74" s="20">
        <v>1</v>
      </c>
      <c r="D74" s="14" t="s">
        <v>447</v>
      </c>
      <c r="E74" s="14" t="s">
        <v>8</v>
      </c>
      <c r="F74" s="15" t="s">
        <v>777</v>
      </c>
      <c r="G74" s="5" t="s">
        <v>30</v>
      </c>
      <c r="H74" s="14" t="s">
        <v>778</v>
      </c>
      <c r="I74" s="23"/>
      <c r="J74" s="14"/>
      <c r="K74" s="14"/>
      <c r="L74" s="15"/>
    </row>
    <row r="75" spans="2:12" ht="43.5" x14ac:dyDescent="0.35">
      <c r="B75" s="36"/>
      <c r="C75" s="20">
        <v>2</v>
      </c>
      <c r="D75" s="14" t="s">
        <v>29</v>
      </c>
      <c r="E75" s="14" t="s">
        <v>14</v>
      </c>
      <c r="F75" s="15" t="s">
        <v>779</v>
      </c>
      <c r="G75" s="14"/>
      <c r="H75" s="14"/>
      <c r="I75" s="23"/>
      <c r="J75" s="14"/>
      <c r="K75" s="14"/>
      <c r="L75" s="15"/>
    </row>
    <row r="76" spans="2:12" ht="32.5" customHeight="1" x14ac:dyDescent="0.35">
      <c r="B76" s="36"/>
      <c r="C76" s="20">
        <v>3</v>
      </c>
      <c r="D76" s="14" t="s">
        <v>52</v>
      </c>
      <c r="E76" s="14" t="s">
        <v>748</v>
      </c>
      <c r="F76" s="15" t="s">
        <v>780</v>
      </c>
      <c r="G76" s="14"/>
      <c r="H76" s="14"/>
      <c r="I76" s="23"/>
      <c r="J76" s="14"/>
      <c r="K76" s="14"/>
      <c r="L76" s="15"/>
    </row>
    <row r="77" spans="2:12" ht="43.5" x14ac:dyDescent="0.35">
      <c r="B77" s="36"/>
      <c r="C77" s="20">
        <v>4</v>
      </c>
      <c r="D77" s="14" t="s">
        <v>52</v>
      </c>
      <c r="E77" s="14" t="s">
        <v>60</v>
      </c>
      <c r="F77" s="15" t="s">
        <v>781</v>
      </c>
      <c r="G77" s="14"/>
      <c r="H77" s="14"/>
      <c r="I77" s="23"/>
      <c r="J77" s="14"/>
      <c r="K77" s="14"/>
      <c r="L77" s="15"/>
    </row>
    <row r="78" spans="2:12" s="3" customFormat="1" ht="21.5" customHeight="1" x14ac:dyDescent="0.35">
      <c r="B78" s="235" t="s">
        <v>53</v>
      </c>
      <c r="C78" s="235"/>
      <c r="D78" s="235"/>
      <c r="E78" s="235"/>
      <c r="F78" s="235"/>
      <c r="G78" s="235"/>
      <c r="H78" s="235"/>
      <c r="I78" s="235"/>
      <c r="J78" s="235"/>
      <c r="K78" s="235"/>
      <c r="L78" s="236"/>
    </row>
    <row r="79" spans="2:12" ht="43.5" x14ac:dyDescent="0.35">
      <c r="B79" s="285">
        <v>45558</v>
      </c>
      <c r="C79" s="20">
        <v>1</v>
      </c>
      <c r="D79" s="14" t="s">
        <v>52</v>
      </c>
      <c r="E79" s="14" t="s">
        <v>81</v>
      </c>
      <c r="F79" s="15" t="s">
        <v>783</v>
      </c>
      <c r="G79" s="14"/>
      <c r="H79" s="14"/>
      <c r="I79" s="23"/>
      <c r="J79" s="14"/>
      <c r="K79" s="14"/>
      <c r="L79" s="17"/>
    </row>
    <row r="80" spans="2:12" ht="35.5" customHeight="1" x14ac:dyDescent="0.35">
      <c r="B80" s="286"/>
      <c r="C80" s="20">
        <v>2</v>
      </c>
      <c r="D80" s="14" t="s">
        <v>24</v>
      </c>
      <c r="E80" s="14" t="s">
        <v>97</v>
      </c>
      <c r="F80" s="15" t="s">
        <v>784</v>
      </c>
      <c r="G80" s="14" t="s">
        <v>18</v>
      </c>
      <c r="H80" s="25" t="s">
        <v>91</v>
      </c>
      <c r="I80" s="23"/>
      <c r="J80" s="14"/>
      <c r="K80" s="14"/>
      <c r="L80" s="17"/>
    </row>
    <row r="81" spans="2:12" ht="37" customHeight="1" x14ac:dyDescent="0.35">
      <c r="B81" s="286"/>
      <c r="C81" s="20">
        <v>3</v>
      </c>
      <c r="D81" s="14" t="s">
        <v>47</v>
      </c>
      <c r="E81" s="14" t="s">
        <v>50</v>
      </c>
      <c r="F81" s="15" t="s">
        <v>782</v>
      </c>
      <c r="G81" s="14" t="s">
        <v>110</v>
      </c>
      <c r="H81" s="14"/>
      <c r="I81" s="23"/>
      <c r="J81" s="14"/>
      <c r="K81" s="14"/>
      <c r="L81" s="17"/>
    </row>
    <row r="82" spans="2:12" ht="43.5" x14ac:dyDescent="0.35">
      <c r="B82" s="287"/>
      <c r="C82" s="20">
        <v>4</v>
      </c>
      <c r="D82" s="14" t="s">
        <v>52</v>
      </c>
      <c r="E82" s="14" t="s">
        <v>64</v>
      </c>
      <c r="F82" s="15" t="s">
        <v>785</v>
      </c>
      <c r="G82" s="14"/>
      <c r="H82" s="14"/>
      <c r="I82" s="23"/>
      <c r="J82" s="14"/>
      <c r="K82" s="14"/>
      <c r="L82" s="17"/>
    </row>
    <row r="83" spans="2:12" ht="43.5" x14ac:dyDescent="0.35">
      <c r="B83" s="285">
        <v>45559</v>
      </c>
      <c r="C83" s="20">
        <v>1</v>
      </c>
      <c r="D83" s="14" t="s">
        <v>24</v>
      </c>
      <c r="E83" s="14" t="s">
        <v>50</v>
      </c>
      <c r="F83" s="15" t="s">
        <v>789</v>
      </c>
      <c r="G83" s="14" t="s">
        <v>110</v>
      </c>
      <c r="H83" s="14"/>
      <c r="I83" s="23"/>
      <c r="J83" s="14"/>
      <c r="K83" s="14"/>
      <c r="L83" s="17"/>
    </row>
    <row r="84" spans="2:12" ht="43.5" x14ac:dyDescent="0.35">
      <c r="B84" s="286"/>
      <c r="C84" s="20">
        <v>2</v>
      </c>
      <c r="D84" s="14" t="s">
        <v>52</v>
      </c>
      <c r="E84" s="14" t="s">
        <v>14</v>
      </c>
      <c r="F84" s="15" t="s">
        <v>787</v>
      </c>
      <c r="G84" s="14"/>
      <c r="H84" s="14"/>
      <c r="I84" s="23"/>
      <c r="J84" s="14"/>
      <c r="K84" s="14"/>
      <c r="L84" s="17"/>
    </row>
    <row r="85" spans="2:12" ht="58" x14ac:dyDescent="0.35">
      <c r="B85" s="286"/>
      <c r="C85" s="19">
        <v>3</v>
      </c>
      <c r="D85" s="5" t="s">
        <v>52</v>
      </c>
      <c r="E85" s="5" t="s">
        <v>14</v>
      </c>
      <c r="F85" s="58" t="s">
        <v>788</v>
      </c>
      <c r="G85" s="5"/>
      <c r="H85" s="33"/>
      <c r="I85" s="47"/>
      <c r="J85" s="14"/>
      <c r="K85" s="14"/>
      <c r="L85" s="24"/>
    </row>
    <row r="86" spans="2:12" ht="32" customHeight="1" x14ac:dyDescent="0.35">
      <c r="B86" s="287"/>
      <c r="C86" s="19">
        <v>4</v>
      </c>
      <c r="D86" s="5" t="s">
        <v>29</v>
      </c>
      <c r="E86" s="5" t="s">
        <v>50</v>
      </c>
      <c r="F86" s="62" t="s">
        <v>786</v>
      </c>
      <c r="G86" s="14" t="s">
        <v>110</v>
      </c>
      <c r="H86" s="33"/>
      <c r="I86" s="47"/>
      <c r="J86" s="14"/>
      <c r="K86" s="14"/>
      <c r="L86" s="24"/>
    </row>
    <row r="87" spans="2:12" ht="22.5" customHeight="1" x14ac:dyDescent="0.35">
      <c r="B87" s="36">
        <v>45560</v>
      </c>
      <c r="C87" s="306">
        <v>1</v>
      </c>
      <c r="D87" s="297" t="s">
        <v>24</v>
      </c>
      <c r="E87" s="297" t="s">
        <v>50</v>
      </c>
      <c r="F87" s="309" t="s">
        <v>790</v>
      </c>
      <c r="G87" s="297" t="s">
        <v>110</v>
      </c>
      <c r="H87" s="330"/>
      <c r="I87" s="21"/>
      <c r="J87" s="14"/>
      <c r="K87" s="14"/>
      <c r="L87" s="60"/>
    </row>
    <row r="88" spans="2:12" ht="22.5" customHeight="1" x14ac:dyDescent="0.35">
      <c r="B88" s="36"/>
      <c r="C88" s="308"/>
      <c r="D88" s="298"/>
      <c r="E88" s="298"/>
      <c r="F88" s="310"/>
      <c r="G88" s="298"/>
      <c r="H88" s="331"/>
      <c r="I88" s="22"/>
      <c r="J88" s="14"/>
      <c r="K88" s="14"/>
      <c r="L88" s="61"/>
    </row>
    <row r="89" spans="2:12" ht="36.5" customHeight="1" x14ac:dyDescent="0.35">
      <c r="B89" s="36"/>
      <c r="C89" s="20">
        <v>2</v>
      </c>
      <c r="D89" s="14" t="s">
        <v>52</v>
      </c>
      <c r="E89" s="14" t="s">
        <v>665</v>
      </c>
      <c r="F89" s="15" t="s">
        <v>791</v>
      </c>
      <c r="G89" s="14"/>
      <c r="H89" s="25"/>
      <c r="I89" s="23"/>
      <c r="J89" s="14"/>
      <c r="K89" s="14"/>
      <c r="L89" s="61"/>
    </row>
    <row r="90" spans="2:12" ht="43.5" x14ac:dyDescent="0.35">
      <c r="B90" s="36"/>
      <c r="C90" s="20">
        <v>3</v>
      </c>
      <c r="D90" s="14" t="s">
        <v>52</v>
      </c>
      <c r="E90" s="14" t="s">
        <v>48</v>
      </c>
      <c r="F90" s="15" t="s">
        <v>792</v>
      </c>
      <c r="G90" s="14" t="s">
        <v>30</v>
      </c>
      <c r="H90" s="25" t="s">
        <v>793</v>
      </c>
      <c r="I90" s="23"/>
      <c r="J90" s="14"/>
      <c r="K90" s="14"/>
      <c r="L90" s="61"/>
    </row>
    <row r="91" spans="2:12" ht="43.5" x14ac:dyDescent="0.35">
      <c r="B91" s="36"/>
      <c r="C91" s="20">
        <v>4</v>
      </c>
      <c r="D91" s="14" t="s">
        <v>89</v>
      </c>
      <c r="E91" s="14" t="s">
        <v>37</v>
      </c>
      <c r="F91" s="15" t="s">
        <v>794</v>
      </c>
      <c r="G91" s="14" t="s">
        <v>18</v>
      </c>
      <c r="H91" s="25" t="s">
        <v>795</v>
      </c>
      <c r="I91" s="23"/>
      <c r="J91" s="14"/>
      <c r="K91" s="14"/>
      <c r="L91" s="61"/>
    </row>
    <row r="92" spans="2:12" ht="43.5" x14ac:dyDescent="0.35">
      <c r="B92" s="36"/>
      <c r="C92" s="20">
        <v>5</v>
      </c>
      <c r="D92" s="14" t="s">
        <v>24</v>
      </c>
      <c r="E92" s="14" t="s">
        <v>80</v>
      </c>
      <c r="F92" s="15" t="s">
        <v>796</v>
      </c>
      <c r="G92" s="14"/>
      <c r="H92" s="25"/>
      <c r="I92" s="23"/>
      <c r="J92" s="14"/>
      <c r="K92" s="14"/>
      <c r="L92" s="61"/>
    </row>
    <row r="93" spans="2:12" ht="50" customHeight="1" x14ac:dyDescent="0.35">
      <c r="B93" s="134"/>
      <c r="C93" s="20">
        <v>6</v>
      </c>
      <c r="D93" s="14" t="s">
        <v>29</v>
      </c>
      <c r="E93" s="14" t="s">
        <v>48</v>
      </c>
      <c r="F93" s="15" t="s">
        <v>797</v>
      </c>
      <c r="G93" s="14" t="s">
        <v>30</v>
      </c>
      <c r="H93" s="25" t="s">
        <v>793</v>
      </c>
      <c r="I93" s="23"/>
      <c r="J93" s="14"/>
      <c r="K93" s="14"/>
      <c r="L93" s="61"/>
    </row>
    <row r="94" spans="2:12" ht="40.5" customHeight="1" x14ac:dyDescent="0.35">
      <c r="B94" s="36">
        <v>45561</v>
      </c>
      <c r="C94" s="20">
        <v>1</v>
      </c>
      <c r="D94" s="14" t="s">
        <v>24</v>
      </c>
      <c r="E94" s="14" t="s">
        <v>799</v>
      </c>
      <c r="F94" s="15" t="s">
        <v>800</v>
      </c>
      <c r="G94" s="14" t="s">
        <v>448</v>
      </c>
      <c r="H94" s="25"/>
      <c r="I94" s="23"/>
      <c r="J94" s="14"/>
      <c r="K94" s="14"/>
      <c r="L94" s="61"/>
    </row>
    <row r="95" spans="2:12" ht="43.5" x14ac:dyDescent="0.35">
      <c r="B95" s="27"/>
      <c r="C95" s="20">
        <v>2</v>
      </c>
      <c r="D95" s="14" t="s">
        <v>29</v>
      </c>
      <c r="E95" s="14" t="s">
        <v>14</v>
      </c>
      <c r="F95" s="15" t="s">
        <v>801</v>
      </c>
      <c r="G95" s="14" t="s">
        <v>54</v>
      </c>
      <c r="H95" s="25" t="s">
        <v>802</v>
      </c>
      <c r="I95" s="23"/>
      <c r="J95" s="14"/>
      <c r="K95" s="14"/>
      <c r="L95" s="61"/>
    </row>
    <row r="96" spans="2:12" ht="43.5" x14ac:dyDescent="0.35">
      <c r="B96" s="27"/>
      <c r="C96" s="20">
        <v>3</v>
      </c>
      <c r="D96" s="14" t="s">
        <v>52</v>
      </c>
      <c r="E96" s="14" t="s">
        <v>748</v>
      </c>
      <c r="F96" s="15" t="s">
        <v>803</v>
      </c>
      <c r="G96" s="14"/>
      <c r="H96" s="25"/>
      <c r="I96" s="23"/>
      <c r="J96" s="14"/>
      <c r="K96" s="14"/>
      <c r="L96" s="61"/>
    </row>
    <row r="97" spans="2:12" ht="29.5" customHeight="1" x14ac:dyDescent="0.35">
      <c r="B97" s="134"/>
      <c r="C97" s="19">
        <v>4</v>
      </c>
      <c r="D97" s="5" t="s">
        <v>47</v>
      </c>
      <c r="E97" s="5" t="s">
        <v>718</v>
      </c>
      <c r="F97" s="6" t="s">
        <v>804</v>
      </c>
      <c r="G97" s="5"/>
      <c r="H97" s="33" t="s">
        <v>798</v>
      </c>
      <c r="I97" s="23"/>
      <c r="J97" s="5"/>
      <c r="K97" s="5"/>
      <c r="L97" s="24"/>
    </row>
    <row r="98" spans="2:12" ht="72.5" x14ac:dyDescent="0.35">
      <c r="B98" s="142">
        <v>45562</v>
      </c>
      <c r="C98" s="19">
        <v>1</v>
      </c>
      <c r="D98" s="5" t="s">
        <v>24</v>
      </c>
      <c r="E98" s="5" t="s">
        <v>80</v>
      </c>
      <c r="F98" s="6" t="s">
        <v>806</v>
      </c>
      <c r="G98" s="5"/>
      <c r="H98" s="33"/>
      <c r="I98" s="23"/>
      <c r="J98" s="5"/>
      <c r="K98" s="5"/>
      <c r="L98" s="24"/>
    </row>
    <row r="99" spans="2:12" ht="33.5" customHeight="1" x14ac:dyDescent="0.35">
      <c r="B99" s="27"/>
      <c r="C99" s="19">
        <v>2</v>
      </c>
      <c r="D99" s="5" t="s">
        <v>47</v>
      </c>
      <c r="E99" s="5" t="s">
        <v>60</v>
      </c>
      <c r="F99" s="6" t="s">
        <v>807</v>
      </c>
      <c r="G99" s="5"/>
      <c r="H99" s="33"/>
      <c r="I99" s="23"/>
      <c r="J99" s="5"/>
      <c r="K99" s="5"/>
      <c r="L99" s="24"/>
    </row>
    <row r="100" spans="2:12" ht="29.5" customHeight="1" x14ac:dyDescent="0.35">
      <c r="B100" s="27"/>
      <c r="C100" s="19">
        <v>3</v>
      </c>
      <c r="D100" s="5" t="s">
        <v>24</v>
      </c>
      <c r="E100" s="5" t="s">
        <v>50</v>
      </c>
      <c r="F100" s="6" t="s">
        <v>805</v>
      </c>
      <c r="G100" s="5" t="s">
        <v>139</v>
      </c>
      <c r="H100" s="33"/>
      <c r="I100" s="23"/>
      <c r="J100" s="5"/>
      <c r="K100" s="5"/>
      <c r="L100" s="24"/>
    </row>
    <row r="101" spans="2:12" ht="43.5" x14ac:dyDescent="0.35">
      <c r="B101" s="134"/>
      <c r="C101" s="19">
        <v>4</v>
      </c>
      <c r="D101" s="5" t="s">
        <v>52</v>
      </c>
      <c r="E101" s="5" t="s">
        <v>8</v>
      </c>
      <c r="F101" s="6" t="s">
        <v>809</v>
      </c>
      <c r="G101" s="5" t="s">
        <v>11</v>
      </c>
      <c r="H101" s="6" t="s">
        <v>808</v>
      </c>
      <c r="I101" s="23"/>
      <c r="J101" s="5"/>
      <c r="K101" s="5"/>
      <c r="L101" s="24"/>
    </row>
    <row r="102" spans="2:12" ht="43.5" x14ac:dyDescent="0.35">
      <c r="B102" s="142">
        <v>45565</v>
      </c>
      <c r="C102" s="19">
        <v>1</v>
      </c>
      <c r="D102" s="5" t="s">
        <v>52</v>
      </c>
      <c r="E102" s="5" t="s">
        <v>78</v>
      </c>
      <c r="F102" s="6" t="s">
        <v>810</v>
      </c>
      <c r="G102" s="5" t="s">
        <v>18</v>
      </c>
      <c r="H102" s="33" t="s">
        <v>93</v>
      </c>
      <c r="I102" s="23"/>
      <c r="J102" s="5"/>
      <c r="K102" s="5"/>
      <c r="L102" s="24"/>
    </row>
    <row r="103" spans="2:12" ht="29.5" customHeight="1" x14ac:dyDescent="0.35">
      <c r="B103" s="27"/>
      <c r="C103" s="19">
        <v>2</v>
      </c>
      <c r="D103" s="5" t="s">
        <v>52</v>
      </c>
      <c r="E103" s="5" t="s">
        <v>64</v>
      </c>
      <c r="F103" s="6" t="s">
        <v>811</v>
      </c>
      <c r="G103" s="5"/>
      <c r="H103" s="33"/>
      <c r="I103" s="23"/>
      <c r="J103" s="5"/>
      <c r="K103" s="5"/>
      <c r="L103" s="24"/>
    </row>
    <row r="104" spans="2:12" ht="29.5" customHeight="1" x14ac:dyDescent="0.35">
      <c r="B104" s="27"/>
      <c r="C104" s="19">
        <v>3</v>
      </c>
      <c r="D104" s="5" t="s">
        <v>52</v>
      </c>
      <c r="E104" s="5" t="s">
        <v>48</v>
      </c>
      <c r="F104" s="6" t="s">
        <v>814</v>
      </c>
      <c r="G104" s="5"/>
      <c r="H104" s="33"/>
      <c r="I104" s="23"/>
      <c r="J104" s="5"/>
      <c r="K104" s="5"/>
      <c r="L104" s="24"/>
    </row>
    <row r="105" spans="2:12" ht="28.5" customHeight="1" x14ac:dyDescent="0.35">
      <c r="B105" s="134"/>
      <c r="C105" s="19">
        <v>4</v>
      </c>
      <c r="D105" s="5" t="s">
        <v>812</v>
      </c>
      <c r="E105" s="5" t="s">
        <v>50</v>
      </c>
      <c r="F105" s="6" t="s">
        <v>813</v>
      </c>
      <c r="G105" s="5"/>
      <c r="H105" s="33"/>
      <c r="I105" s="23"/>
      <c r="J105" s="5"/>
      <c r="K105" s="5"/>
      <c r="L105" s="24"/>
    </row>
  </sheetData>
  <mergeCells count="35">
    <mergeCell ref="B38:B43"/>
    <mergeCell ref="B44:B45"/>
    <mergeCell ref="B49:B51"/>
    <mergeCell ref="B52:B55"/>
    <mergeCell ref="B79:B82"/>
    <mergeCell ref="B83:B86"/>
    <mergeCell ref="B30:L30"/>
    <mergeCell ref="H5:H6"/>
    <mergeCell ref="I5:K5"/>
    <mergeCell ref="L5:L6"/>
    <mergeCell ref="B7:L7"/>
    <mergeCell ref="B8:B12"/>
    <mergeCell ref="B5:B6"/>
    <mergeCell ref="C5:C6"/>
    <mergeCell ref="D5:D6"/>
    <mergeCell ref="E5:E6"/>
    <mergeCell ref="F5:F6"/>
    <mergeCell ref="G5:G6"/>
    <mergeCell ref="B64:B68"/>
    <mergeCell ref="C66:C67"/>
    <mergeCell ref="D66:D67"/>
    <mergeCell ref="E66:E67"/>
    <mergeCell ref="F66:F67"/>
    <mergeCell ref="G66:G67"/>
    <mergeCell ref="H66:H67"/>
    <mergeCell ref="C87:C88"/>
    <mergeCell ref="D87:D88"/>
    <mergeCell ref="E87:E88"/>
    <mergeCell ref="F87:F88"/>
    <mergeCell ref="G87:G88"/>
    <mergeCell ref="I66:I67"/>
    <mergeCell ref="J66:J67"/>
    <mergeCell ref="K66:K67"/>
    <mergeCell ref="L66:L67"/>
    <mergeCell ref="H87:H8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FAC1-AAC9-425C-A2C3-B9EB9A284CAD}">
  <sheetPr>
    <tabColor rgb="FF00B0F0"/>
  </sheetPr>
  <dimension ref="B1:L101"/>
  <sheetViews>
    <sheetView showGridLines="0" zoomScale="85" zoomScaleNormal="85" workbookViewId="0">
      <pane xSplit="5" ySplit="7" topLeftCell="F96" activePane="bottomRight" state="frozen"/>
      <selection pane="topRight" activeCell="E1" sqref="E1"/>
      <selection pane="bottomLeft" activeCell="A8" sqref="A8"/>
      <selection pane="bottomRight" sqref="A1:A1048576"/>
    </sheetView>
  </sheetViews>
  <sheetFormatPr defaultRowHeight="14.5" x14ac:dyDescent="0.35"/>
  <cols>
    <col min="1" max="1" width="4.26953125" customWidth="1"/>
    <col min="2" max="2" width="29.6328125" style="2" bestFit="1" customWidth="1"/>
    <col min="3" max="3" width="5.08984375" customWidth="1"/>
    <col min="4" max="4" width="9.36328125" style="2" customWidth="1"/>
    <col min="5" max="5" width="11.36328125" style="2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50.1796875" style="2" customWidth="1"/>
  </cols>
  <sheetData>
    <row r="1" spans="2:12" x14ac:dyDescent="0.35">
      <c r="B1" s="18" t="s">
        <v>2</v>
      </c>
      <c r="C1" s="18"/>
    </row>
    <row r="2" spans="2:12" x14ac:dyDescent="0.35">
      <c r="B2" s="18" t="s">
        <v>19</v>
      </c>
      <c r="C2" s="1"/>
    </row>
    <row r="3" spans="2:12" x14ac:dyDescent="0.35">
      <c r="B3" s="18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2" s="10" customFormat="1" ht="43.5" x14ac:dyDescent="0.35">
      <c r="B8" s="101">
        <v>45505</v>
      </c>
      <c r="C8" s="38">
        <v>1</v>
      </c>
      <c r="D8" s="39" t="s">
        <v>24</v>
      </c>
      <c r="E8" s="39" t="s">
        <v>48</v>
      </c>
      <c r="F8" s="40" t="s">
        <v>615</v>
      </c>
      <c r="G8" s="41"/>
      <c r="H8" s="41"/>
      <c r="I8" s="96"/>
      <c r="J8" s="96"/>
      <c r="K8" s="47"/>
      <c r="L8" s="76"/>
    </row>
    <row r="9" spans="2:12" s="10" customFormat="1" ht="32.5" customHeight="1" x14ac:dyDescent="0.35">
      <c r="B9" s="80"/>
      <c r="C9" s="38">
        <v>2</v>
      </c>
      <c r="D9" s="39" t="s">
        <v>52</v>
      </c>
      <c r="E9" s="39" t="s">
        <v>616</v>
      </c>
      <c r="F9" s="40" t="s">
        <v>617</v>
      </c>
      <c r="G9" s="41"/>
      <c r="H9" s="41"/>
      <c r="I9" s="96"/>
      <c r="J9" s="96"/>
      <c r="K9" s="47"/>
      <c r="L9" s="76"/>
    </row>
    <row r="10" spans="2:12" s="10" customFormat="1" ht="47.5" customHeight="1" x14ac:dyDescent="0.35">
      <c r="B10" s="80"/>
      <c r="C10" s="38">
        <v>3</v>
      </c>
      <c r="D10" s="39" t="s">
        <v>52</v>
      </c>
      <c r="E10" s="41" t="s">
        <v>618</v>
      </c>
      <c r="F10" s="40" t="s">
        <v>619</v>
      </c>
      <c r="G10" s="41"/>
      <c r="H10" s="41"/>
      <c r="I10" s="96"/>
      <c r="J10" s="96"/>
      <c r="K10" s="47"/>
      <c r="L10" s="76"/>
    </row>
    <row r="11" spans="2:12" s="10" customFormat="1" ht="33" customHeight="1" x14ac:dyDescent="0.35">
      <c r="B11" s="80"/>
      <c r="C11" s="38">
        <v>4</v>
      </c>
      <c r="D11" s="39" t="s">
        <v>52</v>
      </c>
      <c r="E11" s="39" t="s">
        <v>60</v>
      </c>
      <c r="F11" s="40" t="s">
        <v>620</v>
      </c>
      <c r="G11" s="41"/>
      <c r="H11" s="41"/>
      <c r="I11" s="96"/>
      <c r="J11" s="96"/>
      <c r="K11" s="47"/>
      <c r="L11" s="76"/>
    </row>
    <row r="12" spans="2:12" s="10" customFormat="1" ht="29" x14ac:dyDescent="0.35">
      <c r="B12" s="101">
        <v>45506</v>
      </c>
      <c r="C12" s="38">
        <v>1</v>
      </c>
      <c r="D12" s="39" t="s">
        <v>47</v>
      </c>
      <c r="E12" s="39" t="s">
        <v>50</v>
      </c>
      <c r="F12" s="40" t="s">
        <v>602</v>
      </c>
      <c r="G12" s="41" t="s">
        <v>124</v>
      </c>
      <c r="H12" s="41"/>
      <c r="I12" s="96"/>
      <c r="J12" s="96"/>
      <c r="K12" s="47"/>
      <c r="L12" s="76"/>
    </row>
    <row r="13" spans="2:12" s="10" customFormat="1" ht="43.5" x14ac:dyDescent="0.35">
      <c r="B13" s="80"/>
      <c r="C13" s="38">
        <v>2</v>
      </c>
      <c r="D13" s="39" t="s">
        <v>621</v>
      </c>
      <c r="E13" s="39" t="s">
        <v>14</v>
      </c>
      <c r="F13" s="40" t="s">
        <v>622</v>
      </c>
      <c r="G13" s="41" t="s">
        <v>43</v>
      </c>
      <c r="H13" s="41" t="s">
        <v>623</v>
      </c>
      <c r="I13" s="96"/>
      <c r="J13" s="96"/>
      <c r="K13" s="47"/>
      <c r="L13" s="76"/>
    </row>
    <row r="14" spans="2:12" s="10" customFormat="1" ht="37.5" customHeight="1" x14ac:dyDescent="0.35">
      <c r="B14" s="80"/>
      <c r="C14" s="38">
        <v>3</v>
      </c>
      <c r="D14" s="39" t="s">
        <v>52</v>
      </c>
      <c r="E14" s="39" t="s">
        <v>182</v>
      </c>
      <c r="F14" s="40" t="s">
        <v>624</v>
      </c>
      <c r="G14" s="41"/>
      <c r="H14" s="43"/>
      <c r="I14" s="96"/>
      <c r="J14" s="96"/>
      <c r="K14" s="47"/>
      <c r="L14" s="76"/>
    </row>
    <row r="15" spans="2:12" s="3" customFormat="1" ht="21.5" customHeight="1" x14ac:dyDescent="0.35">
      <c r="B15" s="288" t="s">
        <v>45</v>
      </c>
      <c r="C15" s="288"/>
      <c r="D15" s="288"/>
      <c r="E15" s="288"/>
      <c r="F15" s="288"/>
      <c r="G15" s="288"/>
      <c r="H15" s="288"/>
      <c r="I15" s="288"/>
      <c r="J15" s="288"/>
      <c r="K15" s="288"/>
      <c r="L15" s="290"/>
    </row>
    <row r="16" spans="2:12" s="10" customFormat="1" ht="33" customHeight="1" x14ac:dyDescent="0.35">
      <c r="B16" s="314">
        <v>45509</v>
      </c>
      <c r="C16" s="19">
        <v>1</v>
      </c>
      <c r="D16" s="11" t="s">
        <v>29</v>
      </c>
      <c r="E16" s="11" t="s">
        <v>50</v>
      </c>
      <c r="F16" s="6" t="s">
        <v>603</v>
      </c>
      <c r="G16" s="41" t="s">
        <v>124</v>
      </c>
      <c r="H16" s="33"/>
      <c r="I16" s="7"/>
      <c r="J16" s="8"/>
      <c r="K16" s="8"/>
      <c r="L16" s="6"/>
    </row>
    <row r="17" spans="2:12" s="10" customFormat="1" ht="47" customHeight="1" x14ac:dyDescent="0.35">
      <c r="B17" s="315"/>
      <c r="C17" s="19">
        <v>2</v>
      </c>
      <c r="D17" s="11" t="s">
        <v>89</v>
      </c>
      <c r="E17" s="11" t="s">
        <v>37</v>
      </c>
      <c r="F17" s="6" t="s">
        <v>625</v>
      </c>
      <c r="G17" s="41"/>
      <c r="H17" s="33"/>
      <c r="I17" s="7"/>
      <c r="J17" s="8"/>
      <c r="K17" s="8"/>
      <c r="L17" s="6"/>
    </row>
    <row r="18" spans="2:12" s="10" customFormat="1" ht="33" customHeight="1" x14ac:dyDescent="0.35">
      <c r="B18" s="315"/>
      <c r="C18" s="19">
        <v>3</v>
      </c>
      <c r="D18" s="11" t="s">
        <v>29</v>
      </c>
      <c r="E18" s="11" t="s">
        <v>50</v>
      </c>
      <c r="F18" s="6" t="s">
        <v>604</v>
      </c>
      <c r="G18" s="41" t="s">
        <v>605</v>
      </c>
      <c r="H18" s="33"/>
      <c r="I18" s="7"/>
      <c r="J18" s="8"/>
      <c r="K18" s="8"/>
      <c r="L18" s="6"/>
    </row>
    <row r="19" spans="2:12" s="10" customFormat="1" ht="33" customHeight="1" x14ac:dyDescent="0.35">
      <c r="B19" s="315"/>
      <c r="C19" s="19">
        <v>4</v>
      </c>
      <c r="D19" s="95" t="s">
        <v>29</v>
      </c>
      <c r="E19" s="11" t="s">
        <v>42</v>
      </c>
      <c r="F19" s="6" t="s">
        <v>626</v>
      </c>
      <c r="G19" s="41"/>
      <c r="H19" s="33"/>
      <c r="I19" s="7"/>
      <c r="J19" s="8"/>
      <c r="K19" s="8"/>
      <c r="L19" s="6"/>
    </row>
    <row r="20" spans="2:12" s="10" customFormat="1" ht="33" customHeight="1" x14ac:dyDescent="0.35">
      <c r="B20" s="316"/>
      <c r="C20" s="19">
        <v>5</v>
      </c>
      <c r="D20" s="11" t="s">
        <v>52</v>
      </c>
      <c r="E20" s="11" t="s">
        <v>14</v>
      </c>
      <c r="F20" s="6" t="s">
        <v>627</v>
      </c>
      <c r="G20" s="41"/>
      <c r="H20" s="33"/>
      <c r="I20" s="7"/>
      <c r="J20" s="8"/>
      <c r="K20" s="8"/>
      <c r="L20" s="6"/>
    </row>
    <row r="21" spans="2:12" s="10" customFormat="1" ht="31.5" customHeight="1" x14ac:dyDescent="0.35">
      <c r="B21" s="314">
        <v>45510</v>
      </c>
      <c r="C21" s="19">
        <v>1</v>
      </c>
      <c r="D21" s="11" t="s">
        <v>52</v>
      </c>
      <c r="E21" s="11" t="s">
        <v>37</v>
      </c>
      <c r="F21" s="6" t="s">
        <v>628</v>
      </c>
      <c r="G21" s="33"/>
      <c r="H21" s="33"/>
      <c r="I21" s="5"/>
      <c r="J21" s="8"/>
      <c r="K21" s="8"/>
      <c r="L21" s="6"/>
    </row>
    <row r="22" spans="2:12" s="10" customFormat="1" ht="58" x14ac:dyDescent="0.35">
      <c r="B22" s="315"/>
      <c r="C22" s="19">
        <v>2</v>
      </c>
      <c r="D22" s="11" t="s">
        <v>52</v>
      </c>
      <c r="E22" s="11" t="s">
        <v>37</v>
      </c>
      <c r="F22" s="6" t="s">
        <v>629</v>
      </c>
      <c r="G22" s="33"/>
      <c r="H22" s="33"/>
      <c r="I22" s="5"/>
      <c r="J22" s="8"/>
      <c r="K22" s="8"/>
      <c r="L22" s="6"/>
    </row>
    <row r="23" spans="2:12" s="10" customFormat="1" ht="58" x14ac:dyDescent="0.35">
      <c r="B23" s="315"/>
      <c r="C23" s="19">
        <v>3</v>
      </c>
      <c r="D23" s="11" t="s">
        <v>52</v>
      </c>
      <c r="E23" s="95" t="s">
        <v>618</v>
      </c>
      <c r="F23" s="6" t="s">
        <v>630</v>
      </c>
      <c r="G23" s="33"/>
      <c r="H23" s="33"/>
      <c r="I23" s="5"/>
      <c r="J23" s="8"/>
      <c r="K23" s="8"/>
      <c r="L23" s="6"/>
    </row>
    <row r="24" spans="2:12" s="10" customFormat="1" ht="35" customHeight="1" x14ac:dyDescent="0.35">
      <c r="B24" s="315"/>
      <c r="C24" s="19">
        <v>4</v>
      </c>
      <c r="D24" s="11" t="s">
        <v>52</v>
      </c>
      <c r="E24" s="11" t="s">
        <v>60</v>
      </c>
      <c r="F24" s="6" t="s">
        <v>631</v>
      </c>
      <c r="G24" s="5"/>
      <c r="H24" s="33"/>
      <c r="I24" s="5"/>
      <c r="J24" s="8"/>
      <c r="K24" s="8"/>
      <c r="L24" s="9"/>
    </row>
    <row r="25" spans="2:12" s="10" customFormat="1" ht="22.5" customHeight="1" x14ac:dyDescent="0.35">
      <c r="B25" s="101">
        <v>45511</v>
      </c>
      <c r="C25" s="306">
        <v>1</v>
      </c>
      <c r="D25" s="340" t="s">
        <v>29</v>
      </c>
      <c r="E25" s="342" t="s">
        <v>50</v>
      </c>
      <c r="F25" s="309" t="s">
        <v>606</v>
      </c>
      <c r="G25" s="330" t="s">
        <v>139</v>
      </c>
      <c r="H25" s="330" t="s">
        <v>632</v>
      </c>
      <c r="I25" s="47"/>
      <c r="J25" s="8"/>
      <c r="K25" s="21"/>
      <c r="L25" s="338"/>
    </row>
    <row r="26" spans="2:12" s="10" customFormat="1" ht="22.5" customHeight="1" x14ac:dyDescent="0.35">
      <c r="B26" s="26"/>
      <c r="C26" s="308"/>
      <c r="D26" s="341"/>
      <c r="E26" s="343"/>
      <c r="F26" s="310"/>
      <c r="G26" s="331"/>
      <c r="H26" s="331"/>
      <c r="I26" s="7"/>
      <c r="J26" s="8"/>
      <c r="K26" s="22"/>
      <c r="L26" s="339"/>
    </row>
    <row r="27" spans="2:12" s="10" customFormat="1" ht="34" customHeight="1" x14ac:dyDescent="0.35">
      <c r="B27" s="26"/>
      <c r="C27" s="38">
        <v>2</v>
      </c>
      <c r="D27" s="39" t="s">
        <v>52</v>
      </c>
      <c r="E27" s="39" t="s">
        <v>570</v>
      </c>
      <c r="F27" s="40" t="s">
        <v>633</v>
      </c>
      <c r="G27" s="41"/>
      <c r="H27" s="41"/>
      <c r="I27" s="7"/>
      <c r="J27" s="44"/>
      <c r="K27" s="44"/>
      <c r="L27" s="45"/>
    </row>
    <row r="28" spans="2:12" s="10" customFormat="1" ht="34" customHeight="1" x14ac:dyDescent="0.35">
      <c r="B28" s="26"/>
      <c r="C28" s="38">
        <v>3</v>
      </c>
      <c r="D28" s="39" t="s">
        <v>52</v>
      </c>
      <c r="E28" s="39" t="s">
        <v>180</v>
      </c>
      <c r="F28" s="40" t="s">
        <v>634</v>
      </c>
      <c r="G28" s="41"/>
      <c r="H28" s="41"/>
      <c r="I28" s="7"/>
      <c r="J28" s="44"/>
      <c r="K28" s="44"/>
      <c r="L28" s="45"/>
    </row>
    <row r="29" spans="2:12" s="10" customFormat="1" ht="43.5" x14ac:dyDescent="0.35">
      <c r="B29" s="314">
        <v>45512</v>
      </c>
      <c r="C29" s="38">
        <v>1</v>
      </c>
      <c r="D29" s="5" t="s">
        <v>29</v>
      </c>
      <c r="E29" s="93" t="s">
        <v>50</v>
      </c>
      <c r="F29" s="76" t="s">
        <v>607</v>
      </c>
      <c r="G29" s="41" t="s">
        <v>139</v>
      </c>
      <c r="H29" s="41"/>
      <c r="I29" s="7"/>
      <c r="J29" s="44"/>
      <c r="K29" s="44"/>
      <c r="L29" s="76"/>
    </row>
    <row r="30" spans="2:12" s="10" customFormat="1" ht="34" customHeight="1" x14ac:dyDescent="0.35">
      <c r="B30" s="315"/>
      <c r="C30" s="38">
        <v>2</v>
      </c>
      <c r="D30" s="39" t="s">
        <v>24</v>
      </c>
      <c r="E30" s="93" t="s">
        <v>599</v>
      </c>
      <c r="F30" s="76" t="s">
        <v>635</v>
      </c>
      <c r="G30" s="41"/>
      <c r="H30" s="41"/>
      <c r="I30" s="7"/>
      <c r="J30" s="44"/>
      <c r="K30" s="44"/>
      <c r="L30" s="76"/>
    </row>
    <row r="31" spans="2:12" s="10" customFormat="1" ht="34" customHeight="1" x14ac:dyDescent="0.35">
      <c r="B31" s="315"/>
      <c r="C31" s="38">
        <v>3</v>
      </c>
      <c r="D31" s="39" t="s">
        <v>29</v>
      </c>
      <c r="E31" s="93" t="s">
        <v>48</v>
      </c>
      <c r="F31" s="76" t="s">
        <v>636</v>
      </c>
      <c r="G31" s="41"/>
      <c r="H31" s="41"/>
      <c r="I31" s="7"/>
      <c r="J31" s="44"/>
      <c r="K31" s="44"/>
      <c r="L31" s="76"/>
    </row>
    <row r="32" spans="2:12" s="10" customFormat="1" ht="46" customHeight="1" x14ac:dyDescent="0.35">
      <c r="B32" s="315"/>
      <c r="C32" s="38">
        <v>4</v>
      </c>
      <c r="D32" s="39" t="s">
        <v>29</v>
      </c>
      <c r="E32" s="93" t="s">
        <v>637</v>
      </c>
      <c r="F32" s="40" t="s">
        <v>638</v>
      </c>
      <c r="G32" s="41"/>
      <c r="H32" s="41"/>
      <c r="I32" s="7"/>
      <c r="J32" s="44"/>
      <c r="K32" s="44"/>
      <c r="L32" s="76"/>
    </row>
    <row r="33" spans="2:12" s="10" customFormat="1" ht="65" customHeight="1" x14ac:dyDescent="0.35">
      <c r="B33" s="315"/>
      <c r="C33" s="38">
        <v>5</v>
      </c>
      <c r="D33" s="39" t="s">
        <v>52</v>
      </c>
      <c r="E33" s="41" t="s">
        <v>81</v>
      </c>
      <c r="F33" s="76" t="s">
        <v>639</v>
      </c>
      <c r="G33" s="41"/>
      <c r="H33" s="52"/>
      <c r="I33" s="47"/>
      <c r="J33" s="96"/>
      <c r="K33" s="44"/>
      <c r="L33" s="76"/>
    </row>
    <row r="34" spans="2:12" s="10" customFormat="1" ht="62" customHeight="1" x14ac:dyDescent="0.35">
      <c r="B34" s="316"/>
      <c r="C34" s="38">
        <v>6</v>
      </c>
      <c r="D34" s="39" t="s">
        <v>24</v>
      </c>
      <c r="E34" s="41" t="s">
        <v>14</v>
      </c>
      <c r="F34" s="76" t="s">
        <v>641</v>
      </c>
      <c r="G34" s="41"/>
      <c r="H34" s="52"/>
      <c r="I34" s="47"/>
      <c r="J34" s="96"/>
      <c r="K34" s="44"/>
      <c r="L34" s="76"/>
    </row>
    <row r="35" spans="2:12" s="10" customFormat="1" ht="43.5" x14ac:dyDescent="0.35">
      <c r="B35" s="101">
        <v>45513</v>
      </c>
      <c r="C35" s="38">
        <v>1</v>
      </c>
      <c r="D35" s="39" t="s">
        <v>29</v>
      </c>
      <c r="E35" s="41" t="s">
        <v>640</v>
      </c>
      <c r="F35" s="76" t="s">
        <v>607</v>
      </c>
      <c r="G35" s="41" t="s">
        <v>139</v>
      </c>
      <c r="H35" s="52"/>
      <c r="I35" s="47"/>
      <c r="J35" s="96"/>
      <c r="K35" s="44"/>
      <c r="L35" s="76"/>
    </row>
    <row r="36" spans="2:12" s="10" customFormat="1" ht="62" customHeight="1" x14ac:dyDescent="0.35">
      <c r="B36" s="80"/>
      <c r="C36" s="38">
        <v>2</v>
      </c>
      <c r="D36" s="39" t="s">
        <v>24</v>
      </c>
      <c r="E36" s="41" t="s">
        <v>14</v>
      </c>
      <c r="F36" s="76" t="s">
        <v>642</v>
      </c>
      <c r="G36" s="41"/>
      <c r="H36" s="52"/>
      <c r="I36" s="47"/>
      <c r="J36" s="96"/>
      <c r="K36" s="44"/>
      <c r="L36" s="76"/>
    </row>
    <row r="37" spans="2:12" s="10" customFormat="1" ht="43.5" x14ac:dyDescent="0.35">
      <c r="B37" s="80"/>
      <c r="C37" s="38">
        <v>3</v>
      </c>
      <c r="D37" s="39" t="s">
        <v>24</v>
      </c>
      <c r="E37" s="41" t="s">
        <v>14</v>
      </c>
      <c r="F37" s="76" t="s">
        <v>643</v>
      </c>
      <c r="G37" s="41"/>
      <c r="H37" s="52"/>
      <c r="I37" s="47"/>
      <c r="J37" s="96"/>
      <c r="K37" s="44"/>
      <c r="L37" s="76"/>
    </row>
    <row r="38" spans="2:12" s="10" customFormat="1" ht="43.5" x14ac:dyDescent="0.35">
      <c r="B38" s="80"/>
      <c r="C38" s="38">
        <v>4</v>
      </c>
      <c r="D38" s="39" t="s">
        <v>24</v>
      </c>
      <c r="E38" s="41" t="s">
        <v>48</v>
      </c>
      <c r="F38" s="76" t="s">
        <v>644</v>
      </c>
      <c r="G38" s="41"/>
      <c r="H38" s="52"/>
      <c r="I38" s="47"/>
      <c r="J38" s="96"/>
      <c r="K38" s="44"/>
      <c r="L38" s="76"/>
    </row>
    <row r="39" spans="2:12" s="10" customFormat="1" ht="58" x14ac:dyDescent="0.35">
      <c r="B39" s="102"/>
      <c r="C39" s="38">
        <v>5</v>
      </c>
      <c r="D39" s="39" t="s">
        <v>24</v>
      </c>
      <c r="E39" s="41" t="s">
        <v>14</v>
      </c>
      <c r="F39" s="76" t="s">
        <v>645</v>
      </c>
      <c r="G39" s="41"/>
      <c r="H39" s="52"/>
      <c r="I39" s="47"/>
      <c r="J39" s="96"/>
      <c r="K39" s="44"/>
      <c r="L39" s="76"/>
    </row>
    <row r="40" spans="2:12" s="10" customFormat="1" ht="58" x14ac:dyDescent="0.35">
      <c r="B40" s="102"/>
      <c r="C40" s="38">
        <v>5</v>
      </c>
      <c r="D40" s="39" t="s">
        <v>24</v>
      </c>
      <c r="E40" s="41" t="s">
        <v>14</v>
      </c>
      <c r="F40" s="124" t="s">
        <v>646</v>
      </c>
      <c r="G40" s="33"/>
      <c r="H40" s="49"/>
      <c r="I40" s="47"/>
      <c r="J40" s="47"/>
      <c r="K40" s="8"/>
      <c r="L40" s="124"/>
    </row>
    <row r="41" spans="2:12" s="3" customFormat="1" ht="21.5" customHeight="1" x14ac:dyDescent="0.35">
      <c r="B41" s="288" t="s">
        <v>45</v>
      </c>
      <c r="C41" s="288"/>
      <c r="D41" s="288"/>
      <c r="E41" s="288"/>
      <c r="F41" s="288"/>
      <c r="G41" s="288"/>
      <c r="H41" s="288"/>
      <c r="I41" s="288"/>
      <c r="J41" s="288"/>
      <c r="K41" s="288"/>
      <c r="L41" s="290"/>
    </row>
    <row r="42" spans="2:12" s="10" customFormat="1" ht="38" customHeight="1" x14ac:dyDescent="0.35">
      <c r="B42" s="80">
        <v>45516</v>
      </c>
      <c r="C42" s="19">
        <v>1</v>
      </c>
      <c r="D42" s="39" t="s">
        <v>24</v>
      </c>
      <c r="E42" s="41" t="s">
        <v>50</v>
      </c>
      <c r="F42" s="129" t="s">
        <v>608</v>
      </c>
      <c r="G42" s="33"/>
      <c r="H42" s="52"/>
      <c r="I42" s="5"/>
      <c r="J42" s="8"/>
      <c r="K42" s="8"/>
      <c r="L42" s="9"/>
    </row>
    <row r="43" spans="2:12" s="10" customFormat="1" ht="48.5" customHeight="1" x14ac:dyDescent="0.35">
      <c r="B43" s="77"/>
      <c r="C43" s="38">
        <v>2</v>
      </c>
      <c r="D43" s="11" t="s">
        <v>47</v>
      </c>
      <c r="E43" s="41" t="s">
        <v>121</v>
      </c>
      <c r="F43" s="40" t="s">
        <v>609</v>
      </c>
      <c r="G43" s="33"/>
      <c r="H43" s="52"/>
      <c r="I43" s="5"/>
      <c r="J43" s="44"/>
      <c r="K43" s="44"/>
      <c r="L43" s="45"/>
    </row>
    <row r="44" spans="2:12" s="10" customFormat="1" ht="46" customHeight="1" x14ac:dyDescent="0.35">
      <c r="B44" s="77"/>
      <c r="C44" s="38">
        <v>3</v>
      </c>
      <c r="D44" s="11" t="s">
        <v>89</v>
      </c>
      <c r="E44" s="41" t="s">
        <v>48</v>
      </c>
      <c r="F44" s="40" t="s">
        <v>650</v>
      </c>
      <c r="G44" s="33"/>
      <c r="H44" s="52"/>
      <c r="I44" s="47"/>
      <c r="J44" s="44"/>
      <c r="K44" s="44"/>
      <c r="L44" s="45"/>
    </row>
    <row r="45" spans="2:12" s="10" customFormat="1" ht="46" customHeight="1" x14ac:dyDescent="0.35">
      <c r="B45" s="77"/>
      <c r="C45" s="38">
        <v>4</v>
      </c>
      <c r="D45" s="11" t="s">
        <v>52</v>
      </c>
      <c r="E45" s="41" t="s">
        <v>647</v>
      </c>
      <c r="F45" s="40" t="s">
        <v>648</v>
      </c>
      <c r="G45" s="33"/>
      <c r="H45" s="52"/>
      <c r="I45" s="47"/>
      <c r="J45" s="44"/>
      <c r="K45" s="44"/>
      <c r="L45" s="45"/>
    </row>
    <row r="46" spans="2:12" s="10" customFormat="1" ht="51" customHeight="1" x14ac:dyDescent="0.35">
      <c r="B46" s="77"/>
      <c r="C46" s="38">
        <v>5</v>
      </c>
      <c r="D46" s="11" t="s">
        <v>52</v>
      </c>
      <c r="E46" s="11" t="s">
        <v>48</v>
      </c>
      <c r="F46" s="6" t="s">
        <v>649</v>
      </c>
      <c r="G46" s="33"/>
      <c r="H46" s="52"/>
      <c r="I46" s="5"/>
      <c r="J46" s="8"/>
      <c r="K46" s="8"/>
      <c r="L46" s="9"/>
    </row>
    <row r="47" spans="2:12" s="10" customFormat="1" ht="51" customHeight="1" x14ac:dyDescent="0.35">
      <c r="B47" s="77"/>
      <c r="C47" s="38">
        <v>6</v>
      </c>
      <c r="D47" s="11" t="s">
        <v>24</v>
      </c>
      <c r="E47" s="93" t="s">
        <v>57</v>
      </c>
      <c r="F47" s="6" t="s">
        <v>651</v>
      </c>
      <c r="G47" s="33"/>
      <c r="H47" s="52"/>
      <c r="I47" s="5"/>
      <c r="J47" s="8"/>
      <c r="K47" s="8"/>
      <c r="L47" s="9"/>
    </row>
    <row r="48" spans="2:12" s="10" customFormat="1" ht="35.5" customHeight="1" x14ac:dyDescent="0.35">
      <c r="B48" s="314">
        <v>45517</v>
      </c>
      <c r="C48" s="19">
        <v>1</v>
      </c>
      <c r="D48" s="11" t="s">
        <v>47</v>
      </c>
      <c r="E48" s="41" t="s">
        <v>121</v>
      </c>
      <c r="F48" s="58" t="s">
        <v>610</v>
      </c>
      <c r="G48" s="33"/>
      <c r="H48" s="33"/>
      <c r="I48" s="5"/>
      <c r="J48" s="8"/>
      <c r="K48" s="8"/>
      <c r="L48" s="124"/>
    </row>
    <row r="49" spans="2:12" s="10" customFormat="1" ht="49.5" customHeight="1" x14ac:dyDescent="0.35">
      <c r="B49" s="315"/>
      <c r="C49" s="20">
        <v>2</v>
      </c>
      <c r="D49" s="86" t="s">
        <v>52</v>
      </c>
      <c r="E49" s="41" t="s">
        <v>8</v>
      </c>
      <c r="F49" s="66" t="s">
        <v>652</v>
      </c>
      <c r="G49" s="33"/>
      <c r="H49" s="33"/>
      <c r="I49" s="5"/>
      <c r="J49" s="16"/>
      <c r="K49" s="16"/>
      <c r="L49" s="87"/>
    </row>
    <row r="50" spans="2:12" s="10" customFormat="1" ht="35" customHeight="1" x14ac:dyDescent="0.35">
      <c r="B50" s="315"/>
      <c r="C50" s="20">
        <v>3</v>
      </c>
      <c r="D50" s="86" t="s">
        <v>24</v>
      </c>
      <c r="E50" s="41" t="s">
        <v>599</v>
      </c>
      <c r="F50" s="66" t="s">
        <v>600</v>
      </c>
      <c r="G50" s="33"/>
      <c r="H50" s="33"/>
      <c r="I50" s="5"/>
      <c r="J50" s="16"/>
      <c r="K50" s="16"/>
      <c r="L50" s="87"/>
    </row>
    <row r="51" spans="2:12" s="10" customFormat="1" ht="50" customHeight="1" x14ac:dyDescent="0.35">
      <c r="B51" s="315"/>
      <c r="C51" s="20">
        <v>4</v>
      </c>
      <c r="D51" s="86" t="s">
        <v>24</v>
      </c>
      <c r="E51" s="41" t="s">
        <v>8</v>
      </c>
      <c r="F51" s="66" t="s">
        <v>653</v>
      </c>
      <c r="G51" s="33" t="s">
        <v>11</v>
      </c>
      <c r="H51" s="33" t="s">
        <v>654</v>
      </c>
      <c r="I51" s="5"/>
      <c r="J51" s="16"/>
      <c r="K51" s="16"/>
      <c r="L51" s="87"/>
    </row>
    <row r="52" spans="2:12" s="10" customFormat="1" ht="58" x14ac:dyDescent="0.35">
      <c r="B52" s="316"/>
      <c r="C52" s="20">
        <v>5</v>
      </c>
      <c r="D52" s="86" t="s">
        <v>52</v>
      </c>
      <c r="E52" s="33" t="s">
        <v>48</v>
      </c>
      <c r="F52" s="66" t="s">
        <v>655</v>
      </c>
      <c r="G52" s="33" t="s">
        <v>11</v>
      </c>
      <c r="H52" s="33" t="s">
        <v>656</v>
      </c>
      <c r="I52" s="5"/>
      <c r="J52" s="16"/>
      <c r="K52" s="16"/>
      <c r="L52" s="87"/>
    </row>
    <row r="53" spans="2:12" s="10" customFormat="1" ht="32.5" customHeight="1" x14ac:dyDescent="0.35">
      <c r="B53" s="314">
        <v>45518</v>
      </c>
      <c r="C53" s="20">
        <v>1</v>
      </c>
      <c r="D53" s="86" t="s">
        <v>47</v>
      </c>
      <c r="E53" s="25" t="s">
        <v>613</v>
      </c>
      <c r="F53" s="66" t="s">
        <v>658</v>
      </c>
      <c r="G53" s="33"/>
      <c r="H53" s="33"/>
      <c r="I53" s="5"/>
      <c r="J53" s="16"/>
      <c r="K53" s="16"/>
      <c r="L53" s="87"/>
    </row>
    <row r="54" spans="2:12" s="10" customFormat="1" ht="36" customHeight="1" x14ac:dyDescent="0.35">
      <c r="B54" s="315"/>
      <c r="C54" s="20">
        <v>2</v>
      </c>
      <c r="D54" s="86" t="s">
        <v>52</v>
      </c>
      <c r="E54" s="41" t="s">
        <v>48</v>
      </c>
      <c r="F54" s="66" t="s">
        <v>659</v>
      </c>
      <c r="G54" s="33" t="s">
        <v>43</v>
      </c>
      <c r="H54" s="33" t="s">
        <v>31</v>
      </c>
      <c r="I54" s="5"/>
      <c r="J54" s="16"/>
      <c r="K54" s="16"/>
      <c r="L54" s="87"/>
    </row>
    <row r="55" spans="2:12" s="10" customFormat="1" ht="33" customHeight="1" x14ac:dyDescent="0.35">
      <c r="B55" s="315"/>
      <c r="C55" s="20">
        <v>3</v>
      </c>
      <c r="D55" s="86" t="s">
        <v>89</v>
      </c>
      <c r="E55" s="41" t="s">
        <v>14</v>
      </c>
      <c r="F55" s="66" t="s">
        <v>657</v>
      </c>
      <c r="G55" s="33" t="s">
        <v>18</v>
      </c>
      <c r="H55" s="33" t="s">
        <v>41</v>
      </c>
      <c r="I55" s="5"/>
      <c r="J55" s="16"/>
      <c r="K55" s="16"/>
      <c r="L55" s="87"/>
    </row>
    <row r="56" spans="2:12" s="10" customFormat="1" ht="47" customHeight="1" x14ac:dyDescent="0.35">
      <c r="B56" s="315"/>
      <c r="C56" s="20">
        <v>4</v>
      </c>
      <c r="D56" s="86" t="s">
        <v>52</v>
      </c>
      <c r="E56" s="41" t="s">
        <v>48</v>
      </c>
      <c r="F56" s="66" t="s">
        <v>660</v>
      </c>
      <c r="G56" s="33"/>
      <c r="H56" s="33"/>
      <c r="I56" s="5"/>
      <c r="J56" s="16"/>
      <c r="K56" s="16"/>
      <c r="L56" s="87"/>
    </row>
    <row r="57" spans="2:12" s="10" customFormat="1" ht="47" customHeight="1" x14ac:dyDescent="0.35">
      <c r="B57" s="315"/>
      <c r="C57" s="20">
        <v>5</v>
      </c>
      <c r="D57" s="86" t="s">
        <v>52</v>
      </c>
      <c r="E57" s="41" t="s">
        <v>661</v>
      </c>
      <c r="F57" s="66" t="s">
        <v>662</v>
      </c>
      <c r="G57" s="33"/>
      <c r="H57" s="33"/>
      <c r="I57" s="5"/>
      <c r="J57" s="16"/>
      <c r="K57" s="16"/>
      <c r="L57" s="87"/>
    </row>
    <row r="58" spans="2:12" s="10" customFormat="1" ht="65" customHeight="1" x14ac:dyDescent="0.35">
      <c r="B58" s="316"/>
      <c r="C58" s="20">
        <v>6</v>
      </c>
      <c r="D58" s="86" t="s">
        <v>52</v>
      </c>
      <c r="E58" s="41" t="s">
        <v>48</v>
      </c>
      <c r="F58" s="66" t="s">
        <v>663</v>
      </c>
      <c r="G58" s="33"/>
      <c r="H58" s="33"/>
      <c r="I58" s="5"/>
      <c r="J58" s="16"/>
      <c r="K58" s="16"/>
      <c r="L58" s="87"/>
    </row>
    <row r="59" spans="2:12" s="10" customFormat="1" ht="31.5" customHeight="1" x14ac:dyDescent="0.35">
      <c r="B59" s="314">
        <v>45519</v>
      </c>
      <c r="C59" s="20">
        <v>1</v>
      </c>
      <c r="D59" s="86" t="s">
        <v>89</v>
      </c>
      <c r="E59" s="41" t="s">
        <v>50</v>
      </c>
      <c r="F59" s="66" t="s">
        <v>611</v>
      </c>
      <c r="G59" s="33" t="s">
        <v>139</v>
      </c>
      <c r="H59" s="33"/>
      <c r="I59" s="5"/>
      <c r="J59" s="16"/>
      <c r="K59" s="16"/>
      <c r="L59" s="87"/>
    </row>
    <row r="60" spans="2:12" s="10" customFormat="1" ht="30" customHeight="1" x14ac:dyDescent="0.35">
      <c r="B60" s="315"/>
      <c r="C60" s="20">
        <v>2</v>
      </c>
      <c r="D60" s="86" t="s">
        <v>52</v>
      </c>
      <c r="E60" s="41" t="s">
        <v>664</v>
      </c>
      <c r="F60" s="66" t="s">
        <v>612</v>
      </c>
      <c r="G60" s="33"/>
      <c r="H60" s="33"/>
      <c r="I60" s="5"/>
      <c r="J60" s="16"/>
      <c r="K60" s="16"/>
      <c r="L60" s="87"/>
    </row>
    <row r="61" spans="2:12" s="10" customFormat="1" ht="35" customHeight="1" x14ac:dyDescent="0.35">
      <c r="B61" s="315"/>
      <c r="C61" s="20">
        <v>3</v>
      </c>
      <c r="D61" s="86" t="s">
        <v>52</v>
      </c>
      <c r="E61" s="41" t="s">
        <v>665</v>
      </c>
      <c r="F61" s="66" t="s">
        <v>666</v>
      </c>
      <c r="G61" s="33"/>
      <c r="H61" s="33"/>
      <c r="I61" s="5"/>
      <c r="J61" s="16"/>
      <c r="K61" s="16"/>
      <c r="L61" s="87"/>
    </row>
    <row r="62" spans="2:12" s="10" customFormat="1" ht="35" customHeight="1" x14ac:dyDescent="0.35">
      <c r="B62" s="316"/>
      <c r="C62" s="20">
        <v>4</v>
      </c>
      <c r="D62" s="86" t="s">
        <v>52</v>
      </c>
      <c r="E62" s="41" t="s">
        <v>133</v>
      </c>
      <c r="F62" s="66" t="s">
        <v>667</v>
      </c>
      <c r="G62" s="33"/>
      <c r="H62" s="33"/>
      <c r="I62" s="5"/>
      <c r="J62" s="16"/>
      <c r="K62" s="16"/>
      <c r="L62" s="87"/>
    </row>
    <row r="63" spans="2:12" s="10" customFormat="1" ht="43.5" x14ac:dyDescent="0.35">
      <c r="B63" s="314">
        <v>45520</v>
      </c>
      <c r="C63" s="20">
        <v>1</v>
      </c>
      <c r="D63" s="86" t="s">
        <v>52</v>
      </c>
      <c r="E63" s="11" t="s">
        <v>664</v>
      </c>
      <c r="F63" s="15" t="s">
        <v>671</v>
      </c>
      <c r="G63" s="33"/>
      <c r="H63" s="33"/>
      <c r="I63" s="23"/>
      <c r="J63" s="16"/>
      <c r="K63" s="16"/>
      <c r="L63" s="123"/>
    </row>
    <row r="64" spans="2:12" s="10" customFormat="1" ht="43.5" x14ac:dyDescent="0.35">
      <c r="B64" s="315"/>
      <c r="C64" s="19">
        <v>2</v>
      </c>
      <c r="D64" s="11" t="s">
        <v>47</v>
      </c>
      <c r="E64" s="95" t="s">
        <v>42</v>
      </c>
      <c r="F64" s="6" t="s">
        <v>668</v>
      </c>
      <c r="G64" s="33"/>
      <c r="H64" s="33"/>
      <c r="I64" s="5"/>
      <c r="J64" s="8"/>
      <c r="K64" s="8"/>
      <c r="L64" s="9"/>
    </row>
    <row r="65" spans="2:12" s="10" customFormat="1" ht="30" customHeight="1" x14ac:dyDescent="0.35">
      <c r="B65" s="315"/>
      <c r="C65" s="19">
        <v>3</v>
      </c>
      <c r="D65" s="42" t="s">
        <v>29</v>
      </c>
      <c r="E65" s="93" t="s">
        <v>42</v>
      </c>
      <c r="F65" s="40" t="s">
        <v>672</v>
      </c>
      <c r="G65" s="41"/>
      <c r="H65" s="33"/>
      <c r="I65" s="5"/>
      <c r="J65" s="8"/>
      <c r="K65" s="8"/>
      <c r="L65" s="9"/>
    </row>
    <row r="66" spans="2:12" ht="43.5" x14ac:dyDescent="0.35">
      <c r="B66" s="315"/>
      <c r="C66" s="20">
        <v>4</v>
      </c>
      <c r="D66" s="5" t="s">
        <v>29</v>
      </c>
      <c r="E66" s="33" t="s">
        <v>14</v>
      </c>
      <c r="F66" s="6" t="s">
        <v>669</v>
      </c>
      <c r="G66" s="41"/>
      <c r="H66" s="14"/>
      <c r="I66" s="55"/>
      <c r="J66" s="14"/>
      <c r="K66" s="14"/>
      <c r="L66" s="17"/>
    </row>
    <row r="67" spans="2:12" ht="48.5" customHeight="1" x14ac:dyDescent="0.35">
      <c r="B67" s="316"/>
      <c r="C67" s="19">
        <v>5</v>
      </c>
      <c r="D67" s="5" t="s">
        <v>29</v>
      </c>
      <c r="E67" s="33" t="s">
        <v>278</v>
      </c>
      <c r="F67" s="6" t="s">
        <v>670</v>
      </c>
      <c r="G67" s="41"/>
      <c r="H67" s="33"/>
      <c r="I67" s="126"/>
      <c r="J67" s="14"/>
      <c r="K67" s="14"/>
      <c r="L67" s="45"/>
    </row>
    <row r="68" spans="2:12" s="3" customFormat="1" ht="21.5" customHeight="1" x14ac:dyDescent="0.35">
      <c r="B68" s="288" t="s">
        <v>63</v>
      </c>
      <c r="C68" s="288"/>
      <c r="D68" s="288"/>
      <c r="E68" s="288"/>
      <c r="F68" s="288"/>
      <c r="G68" s="288"/>
      <c r="H68" s="288"/>
      <c r="I68" s="288"/>
      <c r="J68" s="288"/>
      <c r="K68" s="288"/>
      <c r="L68" s="290"/>
    </row>
    <row r="69" spans="2:12" ht="29.5" customHeight="1" x14ac:dyDescent="0.35">
      <c r="B69" s="314">
        <v>45523</v>
      </c>
      <c r="C69" s="20">
        <v>1</v>
      </c>
      <c r="D69" s="14" t="s">
        <v>29</v>
      </c>
      <c r="E69" s="14" t="s">
        <v>42</v>
      </c>
      <c r="F69" s="15" t="s">
        <v>673</v>
      </c>
      <c r="G69" s="14"/>
      <c r="H69" s="14"/>
      <c r="I69" s="23"/>
      <c r="J69" s="14"/>
      <c r="K69" s="14"/>
      <c r="L69" s="17"/>
    </row>
    <row r="70" spans="2:12" ht="29.5" customHeight="1" x14ac:dyDescent="0.35">
      <c r="B70" s="315"/>
      <c r="C70" s="20">
        <v>2</v>
      </c>
      <c r="D70" s="14" t="s">
        <v>52</v>
      </c>
      <c r="E70" s="14" t="s">
        <v>8</v>
      </c>
      <c r="F70" s="15" t="s">
        <v>674</v>
      </c>
      <c r="G70" s="14"/>
      <c r="H70" s="14"/>
      <c r="I70" s="23"/>
      <c r="J70" s="14"/>
      <c r="K70" s="14"/>
      <c r="L70" s="17"/>
    </row>
    <row r="71" spans="2:12" ht="43.5" x14ac:dyDescent="0.35">
      <c r="B71" s="315"/>
      <c r="C71" s="20">
        <v>3</v>
      </c>
      <c r="D71" s="14" t="s">
        <v>24</v>
      </c>
      <c r="E71" s="14" t="s">
        <v>599</v>
      </c>
      <c r="F71" s="15" t="s">
        <v>675</v>
      </c>
      <c r="G71" s="14"/>
      <c r="H71" s="14"/>
      <c r="I71" s="23"/>
      <c r="J71" s="14"/>
      <c r="K71" s="14"/>
      <c r="L71" s="17"/>
    </row>
    <row r="72" spans="2:12" ht="29.5" customHeight="1" x14ac:dyDescent="0.35">
      <c r="B72" s="315"/>
      <c r="C72" s="20">
        <v>4</v>
      </c>
      <c r="D72" s="14" t="s">
        <v>52</v>
      </c>
      <c r="E72" s="14" t="s">
        <v>60</v>
      </c>
      <c r="F72" s="15" t="s">
        <v>280</v>
      </c>
      <c r="G72" s="14"/>
      <c r="H72" s="14"/>
      <c r="I72" s="23"/>
      <c r="J72" s="14"/>
      <c r="K72" s="14"/>
      <c r="L72" s="17"/>
    </row>
    <row r="73" spans="2:12" ht="43.5" x14ac:dyDescent="0.35">
      <c r="B73" s="316"/>
      <c r="C73" s="20">
        <v>5</v>
      </c>
      <c r="D73" s="14" t="s">
        <v>449</v>
      </c>
      <c r="E73" s="14" t="s">
        <v>8</v>
      </c>
      <c r="F73" s="15" t="s">
        <v>676</v>
      </c>
      <c r="G73" s="14"/>
      <c r="H73" s="14"/>
      <c r="I73" s="23"/>
      <c r="J73" s="14"/>
      <c r="K73" s="14"/>
      <c r="L73" s="17"/>
    </row>
    <row r="74" spans="2:12" ht="47.5" customHeight="1" x14ac:dyDescent="0.35">
      <c r="B74" s="101">
        <v>45524</v>
      </c>
      <c r="C74" s="20"/>
      <c r="D74" s="14"/>
      <c r="E74" s="14" t="s">
        <v>82</v>
      </c>
      <c r="F74" s="15" t="s">
        <v>614</v>
      </c>
      <c r="G74" s="14"/>
      <c r="H74" s="14"/>
      <c r="I74" s="23"/>
      <c r="J74" s="14"/>
      <c r="K74" s="14"/>
      <c r="L74" s="15"/>
    </row>
    <row r="75" spans="2:12" ht="44.5" customHeight="1" x14ac:dyDescent="0.35">
      <c r="B75" s="101">
        <v>45525</v>
      </c>
      <c r="C75" s="20"/>
      <c r="D75" s="14"/>
      <c r="E75" s="14" t="s">
        <v>82</v>
      </c>
      <c r="F75" s="15" t="s">
        <v>614</v>
      </c>
      <c r="G75" s="14"/>
      <c r="H75" s="15"/>
      <c r="I75" s="23"/>
      <c r="J75" s="14"/>
      <c r="K75" s="14"/>
      <c r="L75" s="17"/>
    </row>
    <row r="76" spans="2:12" ht="43" customHeight="1" x14ac:dyDescent="0.35">
      <c r="B76" s="101">
        <v>45526</v>
      </c>
      <c r="C76" s="20"/>
      <c r="D76" s="14"/>
      <c r="E76" s="14" t="s">
        <v>82</v>
      </c>
      <c r="F76" s="15" t="s">
        <v>614</v>
      </c>
      <c r="G76" s="14"/>
      <c r="H76" s="14"/>
      <c r="I76" s="23"/>
      <c r="J76" s="14"/>
      <c r="K76" s="14"/>
      <c r="L76" s="17"/>
    </row>
    <row r="77" spans="2:12" ht="93.5" customHeight="1" x14ac:dyDescent="0.35">
      <c r="B77" s="122">
        <v>45527</v>
      </c>
      <c r="C77" s="20"/>
      <c r="D77" s="14"/>
      <c r="E77" s="14" t="s">
        <v>82</v>
      </c>
      <c r="F77" s="87" t="s">
        <v>677</v>
      </c>
      <c r="G77" s="14"/>
      <c r="H77" s="14"/>
      <c r="I77" s="23"/>
      <c r="J77" s="14"/>
      <c r="K77" s="14"/>
      <c r="L77" s="17"/>
    </row>
    <row r="78" spans="2:12" ht="23.5" customHeight="1" x14ac:dyDescent="0.35">
      <c r="B78" s="288" t="s">
        <v>53</v>
      </c>
      <c r="C78" s="288"/>
      <c r="D78" s="288"/>
      <c r="E78" s="288"/>
      <c r="F78" s="288"/>
      <c r="G78" s="288"/>
      <c r="H78" s="288"/>
      <c r="I78" s="288"/>
      <c r="J78" s="288"/>
      <c r="K78" s="288"/>
      <c r="L78" s="290"/>
    </row>
    <row r="79" spans="2:12" ht="43.5" x14ac:dyDescent="0.35">
      <c r="B79" s="101">
        <v>45530</v>
      </c>
      <c r="C79" s="20">
        <v>1</v>
      </c>
      <c r="D79" s="14" t="s">
        <v>52</v>
      </c>
      <c r="E79" s="14" t="s">
        <v>133</v>
      </c>
      <c r="F79" s="15" t="s">
        <v>678</v>
      </c>
      <c r="G79" s="14"/>
      <c r="H79" s="14"/>
      <c r="I79" s="23"/>
      <c r="J79" s="14"/>
      <c r="K79" s="14"/>
      <c r="L79" s="15"/>
    </row>
    <row r="80" spans="2:12" ht="29" x14ac:dyDescent="0.35">
      <c r="B80" s="103"/>
      <c r="C80" s="20">
        <v>2</v>
      </c>
      <c r="D80" s="14" t="s">
        <v>24</v>
      </c>
      <c r="E80" s="14" t="s">
        <v>50</v>
      </c>
      <c r="F80" s="15" t="s">
        <v>679</v>
      </c>
      <c r="G80" s="14" t="s">
        <v>139</v>
      </c>
      <c r="H80" s="14"/>
      <c r="I80" s="23"/>
      <c r="J80" s="14"/>
      <c r="K80" s="14"/>
      <c r="L80" s="17"/>
    </row>
    <row r="81" spans="2:12" ht="39" customHeight="1" x14ac:dyDescent="0.35">
      <c r="B81" s="103"/>
      <c r="C81" s="20">
        <v>3</v>
      </c>
      <c r="D81" s="14" t="s">
        <v>29</v>
      </c>
      <c r="E81" s="14" t="s">
        <v>50</v>
      </c>
      <c r="F81" s="15" t="s">
        <v>680</v>
      </c>
      <c r="G81" s="14" t="s">
        <v>139</v>
      </c>
      <c r="H81" s="14"/>
      <c r="I81" s="23"/>
      <c r="J81" s="14"/>
      <c r="K81" s="14"/>
      <c r="L81" s="17"/>
    </row>
    <row r="82" spans="2:12" ht="43.5" x14ac:dyDescent="0.35">
      <c r="B82" s="103"/>
      <c r="C82" s="20">
        <v>4</v>
      </c>
      <c r="D82" s="14" t="s">
        <v>52</v>
      </c>
      <c r="E82" s="14" t="s">
        <v>681</v>
      </c>
      <c r="F82" s="15" t="s">
        <v>682</v>
      </c>
      <c r="G82" s="14"/>
      <c r="H82" s="14"/>
      <c r="I82" s="23"/>
      <c r="J82" s="14"/>
      <c r="K82" s="14"/>
      <c r="L82" s="17"/>
    </row>
    <row r="83" spans="2:12" ht="33.5" customHeight="1" x14ac:dyDescent="0.35">
      <c r="B83" s="335">
        <v>45531</v>
      </c>
      <c r="C83" s="20">
        <v>1</v>
      </c>
      <c r="D83" s="14" t="s">
        <v>24</v>
      </c>
      <c r="E83" s="25" t="s">
        <v>57</v>
      </c>
      <c r="F83" s="15" t="s">
        <v>683</v>
      </c>
      <c r="G83" s="14"/>
      <c r="H83" s="14"/>
      <c r="I83" s="23"/>
      <c r="J83" s="14"/>
      <c r="K83" s="14"/>
      <c r="L83" s="17"/>
    </row>
    <row r="84" spans="2:12" ht="33.5" customHeight="1" x14ac:dyDescent="0.35">
      <c r="B84" s="336"/>
      <c r="C84" s="20">
        <v>2</v>
      </c>
      <c r="D84" s="14" t="s">
        <v>52</v>
      </c>
      <c r="E84" s="25" t="s">
        <v>8</v>
      </c>
      <c r="F84" s="15" t="s">
        <v>684</v>
      </c>
      <c r="G84" s="14"/>
      <c r="H84" s="14"/>
      <c r="I84" s="23"/>
      <c r="J84" s="14"/>
      <c r="K84" s="14"/>
      <c r="L84" s="17"/>
    </row>
    <row r="85" spans="2:12" ht="43.5" x14ac:dyDescent="0.35">
      <c r="B85" s="336"/>
      <c r="C85" s="20">
        <v>3</v>
      </c>
      <c r="D85" s="14" t="s">
        <v>52</v>
      </c>
      <c r="E85" s="25" t="s">
        <v>76</v>
      </c>
      <c r="F85" s="15" t="s">
        <v>686</v>
      </c>
      <c r="G85" s="14"/>
      <c r="H85" s="14"/>
      <c r="I85" s="23"/>
      <c r="J85" s="14"/>
      <c r="K85" s="14"/>
      <c r="L85" s="17"/>
    </row>
    <row r="86" spans="2:12" ht="29" x14ac:dyDescent="0.35">
      <c r="B86" s="336"/>
      <c r="C86" s="20">
        <v>4</v>
      </c>
      <c r="D86" s="14" t="s">
        <v>52</v>
      </c>
      <c r="E86" s="25" t="s">
        <v>665</v>
      </c>
      <c r="F86" s="15" t="s">
        <v>687</v>
      </c>
      <c r="G86" s="14"/>
      <c r="H86" s="14"/>
      <c r="I86" s="23"/>
      <c r="J86" s="14"/>
      <c r="K86" s="14"/>
      <c r="L86" s="17"/>
    </row>
    <row r="87" spans="2:12" ht="72.5" x14ac:dyDescent="0.35">
      <c r="B87" s="336"/>
      <c r="C87" s="20">
        <v>5</v>
      </c>
      <c r="D87" s="14" t="s">
        <v>52</v>
      </c>
      <c r="E87" s="25" t="s">
        <v>8</v>
      </c>
      <c r="F87" s="15" t="s">
        <v>688</v>
      </c>
      <c r="G87" s="14"/>
      <c r="H87" s="14"/>
      <c r="I87" s="23"/>
      <c r="J87" s="14"/>
      <c r="K87" s="14"/>
      <c r="L87" s="17"/>
    </row>
    <row r="88" spans="2:12" ht="49.5" customHeight="1" x14ac:dyDescent="0.35">
      <c r="B88" s="337"/>
      <c r="C88" s="19">
        <v>6</v>
      </c>
      <c r="D88" s="5" t="s">
        <v>449</v>
      </c>
      <c r="E88" s="5" t="s">
        <v>48</v>
      </c>
      <c r="F88" s="6" t="s">
        <v>689</v>
      </c>
      <c r="G88" s="14"/>
      <c r="H88" s="25"/>
      <c r="I88" s="23"/>
      <c r="J88" s="5"/>
      <c r="K88" s="5"/>
      <c r="L88" s="9"/>
    </row>
    <row r="89" spans="2:12" ht="33.5" customHeight="1" x14ac:dyDescent="0.35">
      <c r="B89" s="101">
        <v>45532</v>
      </c>
      <c r="C89" s="20">
        <v>1</v>
      </c>
      <c r="D89" s="14" t="s">
        <v>24</v>
      </c>
      <c r="E89" s="14" t="s">
        <v>50</v>
      </c>
      <c r="F89" s="37" t="s">
        <v>690</v>
      </c>
      <c r="G89" s="33"/>
      <c r="H89" s="5"/>
      <c r="I89" s="55"/>
      <c r="J89" s="14"/>
      <c r="K89" s="14"/>
      <c r="L89" s="17"/>
    </row>
    <row r="90" spans="2:12" ht="37" customHeight="1" x14ac:dyDescent="0.35">
      <c r="B90" s="228"/>
      <c r="C90" s="20">
        <v>2</v>
      </c>
      <c r="D90" s="14" t="s">
        <v>52</v>
      </c>
      <c r="E90" s="14" t="s">
        <v>691</v>
      </c>
      <c r="F90" s="15" t="s">
        <v>692</v>
      </c>
      <c r="G90" s="14"/>
      <c r="H90" s="14"/>
      <c r="I90" s="23"/>
      <c r="J90" s="14"/>
      <c r="K90" s="14"/>
      <c r="L90" s="17"/>
    </row>
    <row r="91" spans="2:12" ht="43.5" x14ac:dyDescent="0.35">
      <c r="B91" s="228"/>
      <c r="C91" s="20">
        <v>3</v>
      </c>
      <c r="D91" s="14" t="s">
        <v>52</v>
      </c>
      <c r="E91" s="14" t="s">
        <v>48</v>
      </c>
      <c r="F91" s="15" t="s">
        <v>695</v>
      </c>
      <c r="G91" s="14"/>
      <c r="H91" s="15"/>
      <c r="I91" s="23"/>
      <c r="J91" s="14"/>
      <c r="K91" s="14"/>
      <c r="L91" s="17"/>
    </row>
    <row r="92" spans="2:12" ht="31.5" customHeight="1" x14ac:dyDescent="0.35">
      <c r="B92" s="130"/>
      <c r="C92" s="20">
        <v>4</v>
      </c>
      <c r="D92" s="14" t="s">
        <v>52</v>
      </c>
      <c r="E92" s="14" t="s">
        <v>60</v>
      </c>
      <c r="F92" s="15" t="s">
        <v>693</v>
      </c>
      <c r="G92" s="14"/>
      <c r="H92" s="14"/>
      <c r="I92" s="23"/>
      <c r="J92" s="14"/>
      <c r="K92" s="14"/>
      <c r="L92" s="17"/>
    </row>
    <row r="93" spans="2:12" ht="35.5" customHeight="1" x14ac:dyDescent="0.35">
      <c r="B93" s="131"/>
      <c r="C93" s="20">
        <v>5</v>
      </c>
      <c r="D93" s="14" t="s">
        <v>52</v>
      </c>
      <c r="E93" s="14" t="s">
        <v>60</v>
      </c>
      <c r="F93" s="15" t="s">
        <v>694</v>
      </c>
      <c r="G93" s="14"/>
      <c r="H93" s="14"/>
      <c r="I93" s="23"/>
      <c r="J93" s="14"/>
      <c r="K93" s="14"/>
      <c r="L93" s="87"/>
    </row>
    <row r="94" spans="2:12" ht="56.5" customHeight="1" x14ac:dyDescent="0.35">
      <c r="B94" s="131"/>
      <c r="C94" s="20">
        <v>6</v>
      </c>
      <c r="D94" s="14" t="s">
        <v>52</v>
      </c>
      <c r="E94" s="14" t="s">
        <v>48</v>
      </c>
      <c r="F94" s="15" t="s">
        <v>696</v>
      </c>
      <c r="G94" s="14"/>
      <c r="H94" s="14"/>
      <c r="I94" s="23"/>
      <c r="J94" s="14"/>
      <c r="K94" s="14"/>
      <c r="L94" s="87"/>
    </row>
    <row r="95" spans="2:12" ht="110.5" customHeight="1" x14ac:dyDescent="0.35">
      <c r="B95" s="101">
        <v>45533</v>
      </c>
      <c r="C95" s="20">
        <v>1</v>
      </c>
      <c r="D95" s="14" t="s">
        <v>52</v>
      </c>
      <c r="E95" s="14" t="s">
        <v>82</v>
      </c>
      <c r="F95" s="124" t="s">
        <v>698</v>
      </c>
      <c r="G95" s="14"/>
      <c r="H95" s="14"/>
      <c r="I95" s="23"/>
      <c r="J95" s="14"/>
      <c r="K95" s="14"/>
      <c r="L95" s="87"/>
    </row>
    <row r="96" spans="2:12" ht="78" customHeight="1" x14ac:dyDescent="0.35">
      <c r="B96" s="101">
        <v>45534</v>
      </c>
      <c r="C96" s="88">
        <v>1</v>
      </c>
      <c r="D96" s="29" t="s">
        <v>52</v>
      </c>
      <c r="E96" s="29" t="s">
        <v>82</v>
      </c>
      <c r="F96" s="76" t="s">
        <v>697</v>
      </c>
      <c r="G96" s="29"/>
      <c r="H96" s="29"/>
      <c r="I96" s="32"/>
      <c r="J96" s="29"/>
      <c r="K96" s="29"/>
      <c r="L96" s="230"/>
    </row>
    <row r="97" spans="2:12" s="10" customFormat="1" ht="29" x14ac:dyDescent="0.35">
      <c r="B97" s="332">
        <v>45535</v>
      </c>
      <c r="C97" s="5">
        <v>1</v>
      </c>
      <c r="D97" s="5" t="s">
        <v>24</v>
      </c>
      <c r="E97" s="5" t="s">
        <v>8</v>
      </c>
      <c r="F97" s="6" t="s">
        <v>699</v>
      </c>
      <c r="G97" s="5"/>
      <c r="H97" s="5"/>
      <c r="I97" s="5"/>
      <c r="J97" s="24"/>
      <c r="K97" s="24"/>
      <c r="L97" s="5"/>
    </row>
    <row r="98" spans="2:12" s="10" customFormat="1" ht="72.5" x14ac:dyDescent="0.35">
      <c r="B98" s="333"/>
      <c r="C98" s="5">
        <v>2</v>
      </c>
      <c r="D98" s="5" t="s">
        <v>24</v>
      </c>
      <c r="E98" s="5" t="s">
        <v>8</v>
      </c>
      <c r="F98" s="6" t="s">
        <v>700</v>
      </c>
      <c r="G98" s="5"/>
      <c r="H98" s="5"/>
      <c r="I98" s="5"/>
      <c r="J98" s="24"/>
      <c r="K98" s="24"/>
      <c r="L98" s="5"/>
    </row>
    <row r="99" spans="2:12" s="10" customFormat="1" x14ac:dyDescent="0.35">
      <c r="B99" s="334"/>
      <c r="C99" s="5"/>
      <c r="D99" s="5"/>
      <c r="E99" s="5"/>
      <c r="F99" s="5"/>
      <c r="G99" s="5"/>
      <c r="H99" s="5"/>
      <c r="I99" s="5"/>
      <c r="J99" s="24"/>
      <c r="K99" s="24"/>
      <c r="L99" s="5"/>
    </row>
    <row r="100" spans="2:12" x14ac:dyDescent="0.35">
      <c r="B100" s="220"/>
    </row>
    <row r="101" spans="2:12" x14ac:dyDescent="0.35">
      <c r="B101" s="220"/>
    </row>
  </sheetData>
  <autoFilter ref="B5:L96" xr:uid="{7C29FAC1-AAC9-425C-A2C3-B9EB9A284CAD}">
    <filterColumn colId="7" showButton="0"/>
    <filterColumn colId="8" showButton="0"/>
  </autoFilter>
  <mergeCells count="31">
    <mergeCell ref="I5:K5"/>
    <mergeCell ref="L5:L6"/>
    <mergeCell ref="B7:L7"/>
    <mergeCell ref="F5:F6"/>
    <mergeCell ref="G5:G6"/>
    <mergeCell ref="B5:B6"/>
    <mergeCell ref="C5:C6"/>
    <mergeCell ref="D5:D6"/>
    <mergeCell ref="E5:E6"/>
    <mergeCell ref="H5:H6"/>
    <mergeCell ref="F25:F26"/>
    <mergeCell ref="G25:G26"/>
    <mergeCell ref="B78:L78"/>
    <mergeCell ref="B59:B62"/>
    <mergeCell ref="B15:L15"/>
    <mergeCell ref="B97:B99"/>
    <mergeCell ref="B63:B67"/>
    <mergeCell ref="B69:B73"/>
    <mergeCell ref="B16:B20"/>
    <mergeCell ref="B29:B34"/>
    <mergeCell ref="B48:B52"/>
    <mergeCell ref="B53:B58"/>
    <mergeCell ref="B83:B88"/>
    <mergeCell ref="B21:B24"/>
    <mergeCell ref="B68:L68"/>
    <mergeCell ref="H25:H26"/>
    <mergeCell ref="L25:L26"/>
    <mergeCell ref="B41:L41"/>
    <mergeCell ref="C25:C26"/>
    <mergeCell ref="D25:D26"/>
    <mergeCell ref="E25:E26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57403-6C9F-4990-92E8-C7BD8A01C5EE}">
  <sheetPr>
    <tabColor rgb="FFE7BFE7"/>
  </sheetPr>
  <dimension ref="B1:L100"/>
  <sheetViews>
    <sheetView showGridLines="0" zoomScale="85" zoomScaleNormal="85" workbookViewId="0">
      <pane xSplit="3" ySplit="7" topLeftCell="D68" activePane="bottomRight" state="frozen"/>
      <selection activeCell="E98" sqref="E98"/>
      <selection pane="topRight" activeCell="E98" sqref="E98"/>
      <selection pane="bottomLeft" activeCell="E98" sqref="E98"/>
      <selection pane="bottomRight" activeCell="D94" sqref="D94"/>
    </sheetView>
  </sheetViews>
  <sheetFormatPr defaultRowHeight="14.5" x14ac:dyDescent="0.35"/>
  <cols>
    <col min="1" max="1" width="5.90625" customWidth="1"/>
    <col min="2" max="2" width="29.6328125" style="2" bestFit="1" customWidth="1"/>
    <col min="3" max="3" width="5.08984375" customWidth="1"/>
    <col min="4" max="4" width="9.36328125" style="2" customWidth="1"/>
    <col min="5" max="5" width="11.36328125" style="2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50.1796875" style="2" customWidth="1"/>
  </cols>
  <sheetData>
    <row r="1" spans="2:12" x14ac:dyDescent="0.35">
      <c r="B1" s="18" t="s">
        <v>2</v>
      </c>
      <c r="C1" s="18"/>
    </row>
    <row r="2" spans="2:12" x14ac:dyDescent="0.35">
      <c r="B2" s="18" t="s">
        <v>19</v>
      </c>
      <c r="C2" s="1"/>
    </row>
    <row r="3" spans="2:12" x14ac:dyDescent="0.35">
      <c r="B3" s="18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2" s="10" customFormat="1" ht="32.5" customHeight="1" x14ac:dyDescent="0.35">
      <c r="B8" s="101">
        <v>45474</v>
      </c>
      <c r="C8" s="38"/>
      <c r="D8" s="39"/>
      <c r="E8" s="39"/>
      <c r="F8" s="40" t="s">
        <v>485</v>
      </c>
      <c r="G8" s="41"/>
      <c r="H8" s="41"/>
      <c r="I8" s="96"/>
      <c r="J8" s="96"/>
      <c r="K8" s="47"/>
      <c r="L8" s="76"/>
    </row>
    <row r="9" spans="2:12" s="10" customFormat="1" ht="37.5" customHeight="1" x14ac:dyDescent="0.35">
      <c r="B9" s="122">
        <v>45475</v>
      </c>
      <c r="C9" s="38"/>
      <c r="D9" s="39"/>
      <c r="E9" s="39"/>
      <c r="F9" s="76" t="s">
        <v>485</v>
      </c>
      <c r="G9" s="41"/>
      <c r="H9" s="41"/>
      <c r="I9" s="96"/>
      <c r="J9" s="96"/>
      <c r="K9" s="47"/>
      <c r="L9" s="76"/>
    </row>
    <row r="10" spans="2:12" s="10" customFormat="1" ht="43.5" x14ac:dyDescent="0.35">
      <c r="B10" s="314">
        <v>45476</v>
      </c>
      <c r="C10" s="38">
        <v>1</v>
      </c>
      <c r="D10" s="39" t="s">
        <v>24</v>
      </c>
      <c r="E10" s="39" t="s">
        <v>8</v>
      </c>
      <c r="F10" s="40" t="s">
        <v>539</v>
      </c>
      <c r="G10" s="41" t="s">
        <v>11</v>
      </c>
      <c r="H10" s="41"/>
      <c r="I10" s="96"/>
      <c r="J10" s="96"/>
      <c r="K10" s="47"/>
      <c r="L10" s="76"/>
    </row>
    <row r="11" spans="2:12" s="10" customFormat="1" ht="43.5" x14ac:dyDescent="0.35">
      <c r="B11" s="315"/>
      <c r="C11" s="38">
        <v>2</v>
      </c>
      <c r="D11" s="39" t="s">
        <v>24</v>
      </c>
      <c r="E11" s="39" t="s">
        <v>8</v>
      </c>
      <c r="F11" s="40" t="s">
        <v>540</v>
      </c>
      <c r="G11" s="41" t="s">
        <v>11</v>
      </c>
      <c r="H11" s="41"/>
      <c r="I11" s="96"/>
      <c r="J11" s="96"/>
      <c r="K11" s="47"/>
      <c r="L11" s="76"/>
    </row>
    <row r="12" spans="2:12" s="10" customFormat="1" ht="29" x14ac:dyDescent="0.35">
      <c r="B12" s="315"/>
      <c r="C12" s="38">
        <v>3</v>
      </c>
      <c r="D12" s="39" t="s">
        <v>52</v>
      </c>
      <c r="E12" s="39" t="s">
        <v>8</v>
      </c>
      <c r="F12" s="40" t="s">
        <v>541</v>
      </c>
      <c r="G12" s="41"/>
      <c r="H12" s="41"/>
      <c r="I12" s="96"/>
      <c r="J12" s="96"/>
      <c r="K12" s="47"/>
      <c r="L12" s="76"/>
    </row>
    <row r="13" spans="2:12" s="10" customFormat="1" ht="58" x14ac:dyDescent="0.35">
      <c r="B13" s="315"/>
      <c r="C13" s="38">
        <v>4</v>
      </c>
      <c r="D13" s="39" t="s">
        <v>52</v>
      </c>
      <c r="E13" s="39" t="s">
        <v>8</v>
      </c>
      <c r="F13" s="40" t="s">
        <v>542</v>
      </c>
      <c r="G13" s="41"/>
      <c r="H13" s="41"/>
      <c r="I13" s="96"/>
      <c r="J13" s="96"/>
      <c r="K13" s="47"/>
      <c r="L13" s="76"/>
    </row>
    <row r="14" spans="2:12" s="10" customFormat="1" ht="34.5" customHeight="1" x14ac:dyDescent="0.35">
      <c r="B14" s="315"/>
      <c r="C14" s="38">
        <v>5</v>
      </c>
      <c r="D14" s="39" t="s">
        <v>52</v>
      </c>
      <c r="E14" s="39" t="s">
        <v>37</v>
      </c>
      <c r="F14" s="40" t="s">
        <v>543</v>
      </c>
      <c r="G14" s="41"/>
      <c r="H14" s="41"/>
      <c r="I14" s="96"/>
      <c r="J14" s="96"/>
      <c r="K14" s="47"/>
      <c r="L14" s="76"/>
    </row>
    <row r="15" spans="2:12" s="10" customFormat="1" ht="34.5" customHeight="1" x14ac:dyDescent="0.35">
      <c r="B15" s="316"/>
      <c r="C15" s="38">
        <v>6</v>
      </c>
      <c r="D15" s="39" t="s">
        <v>129</v>
      </c>
      <c r="E15" s="39" t="s">
        <v>33</v>
      </c>
      <c r="F15" s="40" t="s">
        <v>574</v>
      </c>
      <c r="G15" s="41"/>
      <c r="H15" s="41"/>
      <c r="I15" s="96"/>
      <c r="J15" s="96"/>
      <c r="K15" s="47"/>
      <c r="L15" s="76"/>
    </row>
    <row r="16" spans="2:12" s="10" customFormat="1" ht="29" x14ac:dyDescent="0.35">
      <c r="B16" s="314">
        <v>45477</v>
      </c>
      <c r="C16" s="38">
        <v>1</v>
      </c>
      <c r="D16" s="39" t="s">
        <v>50</v>
      </c>
      <c r="E16" s="39" t="s">
        <v>50</v>
      </c>
      <c r="F16" s="40" t="s">
        <v>486</v>
      </c>
      <c r="G16" s="41" t="s">
        <v>124</v>
      </c>
      <c r="H16" s="41"/>
      <c r="I16" s="96"/>
      <c r="J16" s="96"/>
      <c r="K16" s="47"/>
      <c r="L16" s="76"/>
    </row>
    <row r="17" spans="2:12" s="10" customFormat="1" ht="43.5" x14ac:dyDescent="0.35">
      <c r="B17" s="315"/>
      <c r="C17" s="38">
        <v>2</v>
      </c>
      <c r="D17" s="39" t="s">
        <v>52</v>
      </c>
      <c r="E17" s="39" t="s">
        <v>37</v>
      </c>
      <c r="F17" s="40" t="s">
        <v>569</v>
      </c>
      <c r="G17" s="41"/>
      <c r="H17" s="41"/>
      <c r="I17" s="96"/>
      <c r="J17" s="96"/>
      <c r="K17" s="47"/>
      <c r="L17" s="76"/>
    </row>
    <row r="18" spans="2:12" s="10" customFormat="1" ht="43.5" x14ac:dyDescent="0.35">
      <c r="B18" s="315"/>
      <c r="C18" s="38">
        <v>3</v>
      </c>
      <c r="D18" s="39" t="s">
        <v>52</v>
      </c>
      <c r="E18" s="39" t="s">
        <v>570</v>
      </c>
      <c r="F18" s="40" t="s">
        <v>571</v>
      </c>
      <c r="G18" s="41"/>
      <c r="H18" s="41"/>
      <c r="I18" s="96"/>
      <c r="J18" s="96"/>
      <c r="K18" s="47"/>
      <c r="L18" s="76"/>
    </row>
    <row r="19" spans="2:12" s="10" customFormat="1" ht="29" x14ac:dyDescent="0.35">
      <c r="B19" s="316"/>
      <c r="C19" s="38">
        <v>4</v>
      </c>
      <c r="D19" s="39" t="s">
        <v>89</v>
      </c>
      <c r="E19" s="39" t="s">
        <v>33</v>
      </c>
      <c r="F19" s="40" t="s">
        <v>572</v>
      </c>
      <c r="G19" s="41" t="s">
        <v>18</v>
      </c>
      <c r="H19" s="41" t="s">
        <v>573</v>
      </c>
      <c r="I19" s="96"/>
      <c r="J19" s="96"/>
      <c r="K19" s="47"/>
      <c r="L19" s="76"/>
    </row>
    <row r="20" spans="2:12" s="10" customFormat="1" ht="35" customHeight="1" x14ac:dyDescent="0.35">
      <c r="B20" s="285">
        <v>45478</v>
      </c>
      <c r="C20" s="38">
        <v>1</v>
      </c>
      <c r="D20" s="39" t="s">
        <v>487</v>
      </c>
      <c r="E20" s="39" t="s">
        <v>50</v>
      </c>
      <c r="F20" s="40" t="s">
        <v>575</v>
      </c>
      <c r="G20" s="41" t="s">
        <v>124</v>
      </c>
      <c r="H20" s="41"/>
      <c r="I20" s="96"/>
      <c r="J20" s="96"/>
      <c r="K20" s="47"/>
      <c r="L20" s="76"/>
    </row>
    <row r="21" spans="2:12" s="10" customFormat="1" ht="29" x14ac:dyDescent="0.35">
      <c r="B21" s="286"/>
      <c r="C21" s="38">
        <v>2</v>
      </c>
      <c r="D21" s="39" t="s">
        <v>89</v>
      </c>
      <c r="E21" s="39" t="s">
        <v>33</v>
      </c>
      <c r="F21" s="40" t="s">
        <v>544</v>
      </c>
      <c r="G21" s="41" t="s">
        <v>18</v>
      </c>
      <c r="H21" s="41" t="s">
        <v>34</v>
      </c>
      <c r="I21" s="96"/>
      <c r="J21" s="96"/>
      <c r="K21" s="47"/>
      <c r="L21" s="76"/>
    </row>
    <row r="22" spans="2:12" s="10" customFormat="1" ht="43.5" x14ac:dyDescent="0.35">
      <c r="B22" s="286"/>
      <c r="C22" s="38">
        <v>3</v>
      </c>
      <c r="D22" s="39" t="s">
        <v>52</v>
      </c>
      <c r="E22" s="39" t="s">
        <v>37</v>
      </c>
      <c r="F22" s="40" t="s">
        <v>545</v>
      </c>
      <c r="G22" s="41" t="s">
        <v>18</v>
      </c>
      <c r="H22" s="41" t="s">
        <v>75</v>
      </c>
      <c r="I22" s="96"/>
      <c r="J22" s="96"/>
      <c r="K22" s="47"/>
      <c r="L22" s="76"/>
    </row>
    <row r="23" spans="2:12" s="10" customFormat="1" ht="29" x14ac:dyDescent="0.35">
      <c r="B23" s="286"/>
      <c r="C23" s="38">
        <v>4</v>
      </c>
      <c r="D23" s="39" t="s">
        <v>52</v>
      </c>
      <c r="E23" s="41" t="s">
        <v>92</v>
      </c>
      <c r="F23" s="40" t="s">
        <v>546</v>
      </c>
      <c r="G23" s="41"/>
      <c r="H23" s="41" t="s">
        <v>62</v>
      </c>
      <c r="I23" s="96"/>
      <c r="J23" s="96"/>
      <c r="K23" s="47"/>
      <c r="L23" s="76"/>
    </row>
    <row r="24" spans="2:12" s="10" customFormat="1" ht="43.5" x14ac:dyDescent="0.35">
      <c r="B24" s="286"/>
      <c r="C24" s="38">
        <v>5</v>
      </c>
      <c r="D24" s="39" t="s">
        <v>447</v>
      </c>
      <c r="E24" s="39" t="s">
        <v>14</v>
      </c>
      <c r="F24" s="40" t="s">
        <v>547</v>
      </c>
      <c r="G24" s="41" t="s">
        <v>11</v>
      </c>
      <c r="H24" s="41" t="s">
        <v>548</v>
      </c>
      <c r="I24" s="96"/>
      <c r="J24" s="96"/>
      <c r="K24" s="47"/>
      <c r="L24" s="76"/>
    </row>
    <row r="25" spans="2:12" s="10" customFormat="1" ht="29" x14ac:dyDescent="0.35">
      <c r="B25" s="287"/>
      <c r="C25" s="19">
        <v>6</v>
      </c>
      <c r="D25" s="5" t="s">
        <v>52</v>
      </c>
      <c r="E25" s="5" t="s">
        <v>60</v>
      </c>
      <c r="F25" s="6" t="s">
        <v>576</v>
      </c>
      <c r="G25" s="33"/>
      <c r="H25" s="33"/>
      <c r="I25" s="47"/>
      <c r="J25" s="47"/>
      <c r="K25" s="47"/>
      <c r="L25" s="124"/>
    </row>
    <row r="26" spans="2:12" s="10" customFormat="1" ht="20.5" customHeight="1" x14ac:dyDescent="0.35">
      <c r="B26" s="288" t="s">
        <v>45</v>
      </c>
      <c r="C26" s="288"/>
      <c r="D26" s="288"/>
      <c r="E26" s="288"/>
      <c r="F26" s="288"/>
      <c r="G26" s="288"/>
      <c r="H26" s="288"/>
      <c r="I26" s="288"/>
      <c r="J26" s="288"/>
      <c r="K26" s="288"/>
      <c r="L26" s="290"/>
    </row>
    <row r="27" spans="2:12" s="10" customFormat="1" ht="29" x14ac:dyDescent="0.35">
      <c r="B27" s="314">
        <v>45481</v>
      </c>
      <c r="C27" s="38">
        <v>1</v>
      </c>
      <c r="D27" s="39" t="s">
        <v>537</v>
      </c>
      <c r="E27" s="39" t="s">
        <v>50</v>
      </c>
      <c r="F27" s="40" t="s">
        <v>578</v>
      </c>
      <c r="G27" s="41" t="s">
        <v>536</v>
      </c>
      <c r="H27" s="41"/>
      <c r="I27" s="96"/>
      <c r="J27" s="96"/>
      <c r="K27" s="47"/>
      <c r="L27" s="76"/>
    </row>
    <row r="28" spans="2:12" s="10" customFormat="1" ht="29" x14ac:dyDescent="0.35">
      <c r="B28" s="315"/>
      <c r="C28" s="38">
        <v>2</v>
      </c>
      <c r="D28" s="39" t="s">
        <v>52</v>
      </c>
      <c r="E28" s="39" t="s">
        <v>65</v>
      </c>
      <c r="F28" s="40" t="s">
        <v>577</v>
      </c>
      <c r="G28" s="41"/>
      <c r="H28" s="41"/>
      <c r="I28" s="96"/>
      <c r="J28" s="96"/>
      <c r="K28" s="47"/>
      <c r="L28" s="76"/>
    </row>
    <row r="29" spans="2:12" s="10" customFormat="1" ht="30.5" customHeight="1" x14ac:dyDescent="0.35">
      <c r="B29" s="315"/>
      <c r="C29" s="38">
        <v>3</v>
      </c>
      <c r="D29" s="39" t="s">
        <v>52</v>
      </c>
      <c r="E29" s="39" t="s">
        <v>60</v>
      </c>
      <c r="F29" s="6" t="s">
        <v>579</v>
      </c>
      <c r="G29" s="41"/>
      <c r="H29" s="41"/>
      <c r="I29" s="96"/>
      <c r="J29" s="96"/>
      <c r="K29" s="47"/>
      <c r="L29" s="76"/>
    </row>
    <row r="30" spans="2:12" s="10" customFormat="1" ht="39.5" customHeight="1" x14ac:dyDescent="0.35">
      <c r="B30" s="315"/>
      <c r="C30" s="38">
        <v>4</v>
      </c>
      <c r="D30" s="39" t="s">
        <v>47</v>
      </c>
      <c r="E30" s="39" t="s">
        <v>50</v>
      </c>
      <c r="F30" s="40" t="s">
        <v>535</v>
      </c>
      <c r="G30" s="41"/>
      <c r="H30" s="41"/>
      <c r="I30" s="96"/>
      <c r="J30" s="96"/>
      <c r="K30" s="47"/>
      <c r="L30" s="76"/>
    </row>
    <row r="31" spans="2:12" s="10" customFormat="1" ht="62.5" customHeight="1" x14ac:dyDescent="0.35">
      <c r="B31" s="315"/>
      <c r="C31" s="38">
        <v>5</v>
      </c>
      <c r="D31" s="39" t="s">
        <v>89</v>
      </c>
      <c r="E31" s="39" t="s">
        <v>14</v>
      </c>
      <c r="F31" s="40" t="s">
        <v>580</v>
      </c>
      <c r="G31" s="41" t="s">
        <v>39</v>
      </c>
      <c r="H31" s="41" t="s">
        <v>79</v>
      </c>
      <c r="I31" s="96"/>
      <c r="J31" s="96"/>
      <c r="K31" s="47"/>
      <c r="L31" s="76"/>
    </row>
    <row r="32" spans="2:12" s="10" customFormat="1" ht="33.5" customHeight="1" x14ac:dyDescent="0.35">
      <c r="B32" s="316"/>
      <c r="C32" s="38">
        <v>6</v>
      </c>
      <c r="D32" s="39" t="s">
        <v>52</v>
      </c>
      <c r="E32" s="39" t="s">
        <v>78</v>
      </c>
      <c r="F32" s="40" t="s">
        <v>581</v>
      </c>
      <c r="G32" s="41"/>
      <c r="H32" s="41"/>
      <c r="I32" s="96"/>
      <c r="J32" s="96"/>
      <c r="K32" s="47"/>
      <c r="L32" s="76"/>
    </row>
    <row r="33" spans="2:12" s="10" customFormat="1" ht="51" customHeight="1" x14ac:dyDescent="0.35">
      <c r="B33" s="314">
        <v>45482</v>
      </c>
      <c r="C33" s="38">
        <v>1</v>
      </c>
      <c r="D33" s="39" t="s">
        <v>52</v>
      </c>
      <c r="E33" s="39" t="s">
        <v>108</v>
      </c>
      <c r="F33" s="40" t="s">
        <v>549</v>
      </c>
      <c r="G33" s="41"/>
      <c r="H33" s="41"/>
      <c r="I33" s="96"/>
      <c r="J33" s="96"/>
      <c r="K33" s="47"/>
      <c r="L33" s="76"/>
    </row>
    <row r="34" spans="2:12" s="10" customFormat="1" ht="43.5" x14ac:dyDescent="0.35">
      <c r="B34" s="315"/>
      <c r="C34" s="38">
        <v>2</v>
      </c>
      <c r="D34" s="39" t="s">
        <v>52</v>
      </c>
      <c r="E34" s="39" t="s">
        <v>78</v>
      </c>
      <c r="F34" s="40" t="s">
        <v>582</v>
      </c>
      <c r="G34" s="41"/>
      <c r="H34" s="41"/>
      <c r="I34" s="96"/>
      <c r="J34" s="96"/>
      <c r="K34" s="47"/>
      <c r="L34" s="76"/>
    </row>
    <row r="35" spans="2:12" s="10" customFormat="1" ht="43.5" x14ac:dyDescent="0.35">
      <c r="B35" s="315"/>
      <c r="C35" s="38">
        <v>3</v>
      </c>
      <c r="D35" s="39" t="s">
        <v>52</v>
      </c>
      <c r="E35" s="39" t="s">
        <v>81</v>
      </c>
      <c r="F35" s="40" t="s">
        <v>583</v>
      </c>
      <c r="G35" s="41"/>
      <c r="H35" s="41"/>
      <c r="I35" s="96"/>
      <c r="J35" s="96"/>
      <c r="K35" s="47"/>
      <c r="L35" s="76"/>
    </row>
    <row r="36" spans="2:12" s="10" customFormat="1" ht="27" customHeight="1" x14ac:dyDescent="0.35">
      <c r="B36" s="316"/>
      <c r="C36" s="38">
        <v>4</v>
      </c>
      <c r="D36" s="39" t="s">
        <v>47</v>
      </c>
      <c r="E36" s="39" t="s">
        <v>50</v>
      </c>
      <c r="F36" s="40" t="s">
        <v>538</v>
      </c>
      <c r="G36" s="41"/>
      <c r="H36" s="41"/>
      <c r="I36" s="96"/>
      <c r="J36" s="96"/>
      <c r="K36" s="47"/>
      <c r="L36" s="76"/>
    </row>
    <row r="37" spans="2:12" s="10" customFormat="1" ht="33.5" customHeight="1" x14ac:dyDescent="0.35">
      <c r="B37" s="122">
        <v>45483</v>
      </c>
      <c r="C37" s="38"/>
      <c r="D37" s="39"/>
      <c r="E37" s="39" t="s">
        <v>82</v>
      </c>
      <c r="F37" s="40" t="s">
        <v>584</v>
      </c>
      <c r="G37" s="41"/>
      <c r="H37" s="41"/>
      <c r="I37" s="96"/>
      <c r="J37" s="96"/>
      <c r="K37" s="47"/>
      <c r="L37" s="76"/>
    </row>
    <row r="38" spans="2:12" s="10" customFormat="1" ht="33.5" customHeight="1" x14ac:dyDescent="0.35">
      <c r="B38" s="122">
        <v>45484</v>
      </c>
      <c r="C38" s="38"/>
      <c r="D38" s="39" t="s">
        <v>47</v>
      </c>
      <c r="E38" s="39" t="s">
        <v>82</v>
      </c>
      <c r="F38" s="40" t="s">
        <v>584</v>
      </c>
      <c r="G38" s="41"/>
      <c r="H38" s="41"/>
      <c r="I38" s="96"/>
      <c r="J38" s="96"/>
      <c r="K38" s="47"/>
      <c r="L38" s="76"/>
    </row>
    <row r="39" spans="2:12" s="10" customFormat="1" ht="33.5" customHeight="1" x14ac:dyDescent="0.35">
      <c r="B39" s="122">
        <v>45485</v>
      </c>
      <c r="C39" s="38"/>
      <c r="D39" s="39"/>
      <c r="E39" s="39" t="s">
        <v>82</v>
      </c>
      <c r="F39" s="40" t="s">
        <v>584</v>
      </c>
      <c r="G39" s="41"/>
      <c r="H39" s="41"/>
      <c r="I39" s="96"/>
      <c r="J39" s="96"/>
      <c r="K39" s="47"/>
      <c r="L39" s="76"/>
    </row>
    <row r="40" spans="2:12" s="10" customFormat="1" ht="20.5" customHeight="1" x14ac:dyDescent="0.35">
      <c r="B40" s="288" t="s">
        <v>63</v>
      </c>
      <c r="C40" s="288"/>
      <c r="D40" s="288"/>
      <c r="E40" s="288"/>
      <c r="F40" s="288"/>
      <c r="G40" s="288"/>
      <c r="H40" s="288"/>
      <c r="I40" s="288"/>
      <c r="J40" s="288"/>
      <c r="K40" s="288"/>
      <c r="L40" s="290"/>
    </row>
    <row r="41" spans="2:12" s="10" customFormat="1" ht="27" customHeight="1" x14ac:dyDescent="0.35">
      <c r="B41" s="122">
        <v>45483</v>
      </c>
      <c r="C41" s="38"/>
      <c r="D41" s="39"/>
      <c r="E41" s="39"/>
      <c r="F41" s="40" t="s">
        <v>530</v>
      </c>
      <c r="G41" s="41"/>
      <c r="H41" s="41"/>
      <c r="I41" s="96"/>
      <c r="J41" s="96"/>
      <c r="K41" s="47"/>
      <c r="L41" s="76"/>
    </row>
    <row r="42" spans="2:12" s="10" customFormat="1" ht="27" customHeight="1" x14ac:dyDescent="0.35">
      <c r="B42" s="122">
        <v>45484</v>
      </c>
      <c r="C42" s="38"/>
      <c r="D42" s="39"/>
      <c r="E42" s="39"/>
      <c r="F42" s="40" t="s">
        <v>530</v>
      </c>
      <c r="G42" s="41"/>
      <c r="H42" s="41"/>
      <c r="I42" s="96"/>
      <c r="J42" s="96"/>
      <c r="K42" s="47"/>
      <c r="L42" s="76"/>
    </row>
    <row r="43" spans="2:12" s="10" customFormat="1" ht="27" customHeight="1" x14ac:dyDescent="0.35">
      <c r="B43" s="122">
        <v>45485</v>
      </c>
      <c r="C43" s="38"/>
      <c r="D43" s="39"/>
      <c r="E43" s="39"/>
      <c r="F43" s="40" t="s">
        <v>530</v>
      </c>
      <c r="G43" s="41"/>
      <c r="H43" s="41"/>
      <c r="I43" s="96"/>
      <c r="J43" s="96"/>
      <c r="K43" s="47"/>
      <c r="L43" s="76"/>
    </row>
    <row r="44" spans="2:12" s="10" customFormat="1" ht="27" customHeight="1" x14ac:dyDescent="0.35">
      <c r="B44" s="288" t="s">
        <v>63</v>
      </c>
      <c r="C44" s="288"/>
      <c r="D44" s="288"/>
      <c r="E44" s="288"/>
      <c r="F44" s="288"/>
      <c r="G44" s="288"/>
      <c r="H44" s="288"/>
      <c r="I44" s="288"/>
      <c r="J44" s="288"/>
      <c r="K44" s="288"/>
      <c r="L44" s="290"/>
    </row>
    <row r="45" spans="2:12" s="10" customFormat="1" ht="42.5" customHeight="1" x14ac:dyDescent="0.35">
      <c r="B45" s="314">
        <v>45488</v>
      </c>
      <c r="C45" s="38">
        <v>1</v>
      </c>
      <c r="D45" s="39" t="s">
        <v>29</v>
      </c>
      <c r="E45" s="39" t="s">
        <v>50</v>
      </c>
      <c r="F45" s="40" t="s">
        <v>534</v>
      </c>
      <c r="G45" s="41" t="s">
        <v>550</v>
      </c>
      <c r="H45" s="41"/>
      <c r="I45" s="96"/>
      <c r="J45" s="96"/>
      <c r="K45" s="47"/>
      <c r="L45" s="76"/>
    </row>
    <row r="46" spans="2:12" s="10" customFormat="1" ht="34" customHeight="1" x14ac:dyDescent="0.35">
      <c r="B46" s="315"/>
      <c r="C46" s="38">
        <v>2</v>
      </c>
      <c r="D46" s="39" t="s">
        <v>52</v>
      </c>
      <c r="E46" s="39" t="s">
        <v>14</v>
      </c>
      <c r="F46" s="40" t="s">
        <v>586</v>
      </c>
      <c r="G46" s="41"/>
      <c r="H46" s="41"/>
      <c r="I46" s="96"/>
      <c r="J46" s="96"/>
      <c r="K46" s="47"/>
      <c r="L46" s="76"/>
    </row>
    <row r="47" spans="2:12" s="10" customFormat="1" ht="49.5" customHeight="1" x14ac:dyDescent="0.35">
      <c r="B47" s="315"/>
      <c r="C47" s="38">
        <v>3</v>
      </c>
      <c r="D47" s="39" t="s">
        <v>52</v>
      </c>
      <c r="E47" s="41" t="s">
        <v>92</v>
      </c>
      <c r="F47" s="40" t="s">
        <v>587</v>
      </c>
      <c r="G47" s="41"/>
      <c r="H47" s="41"/>
      <c r="I47" s="96"/>
      <c r="J47" s="96"/>
      <c r="K47" s="47"/>
      <c r="L47" s="76"/>
    </row>
    <row r="48" spans="2:12" s="10" customFormat="1" ht="49.5" customHeight="1" x14ac:dyDescent="0.35">
      <c r="B48" s="315"/>
      <c r="C48" s="38">
        <v>4</v>
      </c>
      <c r="D48" s="39" t="s">
        <v>24</v>
      </c>
      <c r="E48" s="41" t="s">
        <v>128</v>
      </c>
      <c r="F48" s="40" t="s">
        <v>565</v>
      </c>
      <c r="G48" s="41"/>
      <c r="H48" s="41"/>
      <c r="I48" s="96"/>
      <c r="J48" s="96"/>
      <c r="K48" s="47"/>
      <c r="L48" s="76"/>
    </row>
    <row r="49" spans="2:12" s="10" customFormat="1" ht="47.5" customHeight="1" x14ac:dyDescent="0.35">
      <c r="B49" s="316"/>
      <c r="C49" s="38">
        <v>5</v>
      </c>
      <c r="D49" s="39" t="s">
        <v>52</v>
      </c>
      <c r="E49" s="39" t="s">
        <v>64</v>
      </c>
      <c r="F49" s="40" t="s">
        <v>588</v>
      </c>
      <c r="G49" s="41"/>
      <c r="H49" s="41"/>
      <c r="I49" s="96"/>
      <c r="J49" s="96"/>
      <c r="K49" s="47"/>
      <c r="L49" s="76"/>
    </row>
    <row r="50" spans="2:12" s="10" customFormat="1" ht="31" customHeight="1" x14ac:dyDescent="0.35">
      <c r="B50" s="314">
        <v>45489</v>
      </c>
      <c r="C50" s="38">
        <v>1</v>
      </c>
      <c r="D50" s="39" t="s">
        <v>29</v>
      </c>
      <c r="E50" s="39" t="s">
        <v>110</v>
      </c>
      <c r="F50" s="40" t="s">
        <v>532</v>
      </c>
      <c r="G50" s="41" t="s">
        <v>533</v>
      </c>
      <c r="H50" s="41"/>
      <c r="I50" s="96"/>
      <c r="J50" s="96"/>
      <c r="K50" s="47"/>
      <c r="L50" s="76"/>
    </row>
    <row r="51" spans="2:12" s="10" customFormat="1" ht="31" customHeight="1" x14ac:dyDescent="0.35">
      <c r="B51" s="315"/>
      <c r="C51" s="38">
        <v>2</v>
      </c>
      <c r="D51" s="39" t="s">
        <v>29</v>
      </c>
      <c r="E51" s="39" t="s">
        <v>50</v>
      </c>
      <c r="F51" s="40" t="s">
        <v>531</v>
      </c>
      <c r="G51" s="41" t="s">
        <v>308</v>
      </c>
      <c r="H51" s="41"/>
      <c r="I51" s="96"/>
      <c r="J51" s="96"/>
      <c r="K51" s="47"/>
      <c r="L51" s="76"/>
    </row>
    <row r="52" spans="2:12" s="10" customFormat="1" ht="31" customHeight="1" x14ac:dyDescent="0.35">
      <c r="B52" s="315"/>
      <c r="C52" s="38">
        <v>3</v>
      </c>
      <c r="D52" s="39"/>
      <c r="E52" s="39"/>
      <c r="F52" s="40" t="s">
        <v>589</v>
      </c>
      <c r="G52" s="41"/>
      <c r="H52" s="41"/>
      <c r="I52" s="96"/>
      <c r="J52" s="96"/>
      <c r="K52" s="47"/>
      <c r="L52" s="76"/>
    </row>
    <row r="53" spans="2:12" s="10" customFormat="1" ht="52" customHeight="1" x14ac:dyDescent="0.35">
      <c r="B53" s="315"/>
      <c r="C53" s="38">
        <v>4</v>
      </c>
      <c r="D53" s="39" t="s">
        <v>24</v>
      </c>
      <c r="E53" s="39" t="s">
        <v>14</v>
      </c>
      <c r="F53" s="40" t="s">
        <v>590</v>
      </c>
      <c r="G53" s="41" t="s">
        <v>43</v>
      </c>
      <c r="H53" s="41" t="s">
        <v>147</v>
      </c>
      <c r="I53" s="96"/>
      <c r="J53" s="96"/>
      <c r="K53" s="47"/>
      <c r="L53" s="76"/>
    </row>
    <row r="54" spans="2:12" s="10" customFormat="1" ht="62.5" customHeight="1" x14ac:dyDescent="0.35">
      <c r="B54" s="316"/>
      <c r="C54" s="38">
        <v>5</v>
      </c>
      <c r="D54" s="39" t="s">
        <v>52</v>
      </c>
      <c r="E54" s="39" t="s">
        <v>8</v>
      </c>
      <c r="F54" s="40" t="s">
        <v>591</v>
      </c>
      <c r="G54" s="41" t="s">
        <v>11</v>
      </c>
      <c r="H54" s="41" t="s">
        <v>592</v>
      </c>
      <c r="I54" s="96"/>
      <c r="J54" s="96"/>
      <c r="K54" s="47"/>
      <c r="L54" s="76"/>
    </row>
    <row r="55" spans="2:12" s="10" customFormat="1" ht="38" customHeight="1" x14ac:dyDescent="0.35">
      <c r="B55" s="314">
        <v>45490</v>
      </c>
      <c r="C55" s="38">
        <v>1</v>
      </c>
      <c r="D55" s="39" t="s">
        <v>29</v>
      </c>
      <c r="E55" s="39" t="s">
        <v>50</v>
      </c>
      <c r="F55" s="40" t="s">
        <v>551</v>
      </c>
      <c r="G55" s="41" t="s">
        <v>552</v>
      </c>
      <c r="H55" s="41"/>
      <c r="I55" s="96"/>
      <c r="J55" s="96"/>
      <c r="K55" s="47"/>
      <c r="L55" s="76"/>
    </row>
    <row r="56" spans="2:12" s="10" customFormat="1" ht="52" customHeight="1" x14ac:dyDescent="0.35">
      <c r="B56" s="315"/>
      <c r="C56" s="38">
        <v>2</v>
      </c>
      <c r="D56" s="39" t="s">
        <v>24</v>
      </c>
      <c r="E56" s="39" t="s">
        <v>128</v>
      </c>
      <c r="F56" s="40" t="s">
        <v>565</v>
      </c>
      <c r="G56" s="41" t="s">
        <v>18</v>
      </c>
      <c r="H56" s="41" t="s">
        <v>77</v>
      </c>
      <c r="I56" s="96"/>
      <c r="J56" s="96"/>
      <c r="K56" s="47"/>
      <c r="L56" s="76"/>
    </row>
    <row r="57" spans="2:12" s="10" customFormat="1" ht="27" customHeight="1" x14ac:dyDescent="0.35">
      <c r="B57" s="315"/>
      <c r="C57" s="38">
        <v>3</v>
      </c>
      <c r="D57" s="39" t="s">
        <v>52</v>
      </c>
      <c r="E57" s="39" t="s">
        <v>64</v>
      </c>
      <c r="F57" s="40" t="s">
        <v>593</v>
      </c>
      <c r="G57" s="41"/>
      <c r="H57" s="41"/>
      <c r="I57" s="96"/>
      <c r="J57" s="96"/>
      <c r="K57" s="47"/>
      <c r="L57" s="76"/>
    </row>
    <row r="58" spans="2:12" s="10" customFormat="1" ht="59" customHeight="1" x14ac:dyDescent="0.35">
      <c r="B58" s="316"/>
      <c r="C58" s="38">
        <v>4</v>
      </c>
      <c r="D58" s="39" t="s">
        <v>24</v>
      </c>
      <c r="E58" s="39" t="s">
        <v>14</v>
      </c>
      <c r="F58" s="40" t="s">
        <v>594</v>
      </c>
      <c r="G58" s="41" t="s">
        <v>11</v>
      </c>
      <c r="H58" s="41" t="s">
        <v>595</v>
      </c>
      <c r="I58" s="96"/>
      <c r="J58" s="96"/>
      <c r="K58" s="47"/>
      <c r="L58" s="76"/>
    </row>
    <row r="59" spans="2:12" s="10" customFormat="1" ht="36.5" customHeight="1" x14ac:dyDescent="0.35">
      <c r="B59" s="314">
        <v>45491</v>
      </c>
      <c r="C59" s="38">
        <v>1</v>
      </c>
      <c r="D59" s="39" t="s">
        <v>47</v>
      </c>
      <c r="E59" s="39" t="s">
        <v>50</v>
      </c>
      <c r="F59" s="40" t="s">
        <v>553</v>
      </c>
      <c r="G59" s="41" t="s">
        <v>554</v>
      </c>
      <c r="H59" s="41"/>
      <c r="I59" s="96"/>
      <c r="J59" s="96"/>
      <c r="K59" s="47"/>
      <c r="L59" s="76"/>
    </row>
    <row r="60" spans="2:12" s="10" customFormat="1" ht="43.5" x14ac:dyDescent="0.35">
      <c r="B60" s="315"/>
      <c r="C60" s="38">
        <v>2</v>
      </c>
      <c r="D60" s="39" t="s">
        <v>561</v>
      </c>
      <c r="E60" s="39" t="s">
        <v>14</v>
      </c>
      <c r="F60" s="40" t="s">
        <v>562</v>
      </c>
      <c r="G60" s="41" t="s">
        <v>11</v>
      </c>
      <c r="H60" s="41" t="s">
        <v>144</v>
      </c>
      <c r="I60" s="96"/>
      <c r="J60" s="96"/>
      <c r="K60" s="47"/>
      <c r="L60" s="76"/>
    </row>
    <row r="61" spans="2:12" s="10" customFormat="1" ht="58" x14ac:dyDescent="0.35">
      <c r="B61" s="315"/>
      <c r="C61" s="38">
        <v>3</v>
      </c>
      <c r="D61" s="39" t="s">
        <v>47</v>
      </c>
      <c r="E61" s="39" t="s">
        <v>48</v>
      </c>
      <c r="F61" s="40" t="s">
        <v>563</v>
      </c>
      <c r="G61" s="41" t="s">
        <v>11</v>
      </c>
      <c r="H61" s="41" t="s">
        <v>31</v>
      </c>
      <c r="I61" s="96"/>
      <c r="J61" s="96"/>
      <c r="K61" s="47"/>
      <c r="L61" s="76"/>
    </row>
    <row r="62" spans="2:12" s="10" customFormat="1" ht="36" customHeight="1" x14ac:dyDescent="0.35">
      <c r="B62" s="315"/>
      <c r="C62" s="38">
        <v>4</v>
      </c>
      <c r="D62" s="39" t="s">
        <v>47</v>
      </c>
      <c r="E62" s="39" t="s">
        <v>48</v>
      </c>
      <c r="F62" s="40" t="s">
        <v>564</v>
      </c>
      <c r="G62" s="41"/>
      <c r="H62" s="41"/>
      <c r="I62" s="96"/>
      <c r="J62" s="96"/>
      <c r="K62" s="47"/>
      <c r="L62" s="76"/>
    </row>
    <row r="63" spans="2:12" s="10" customFormat="1" ht="48.5" customHeight="1" x14ac:dyDescent="0.35">
      <c r="B63" s="315"/>
      <c r="C63" s="38">
        <v>5</v>
      </c>
      <c r="D63" s="39" t="s">
        <v>24</v>
      </c>
      <c r="E63" s="39" t="s">
        <v>128</v>
      </c>
      <c r="F63" s="40" t="s">
        <v>565</v>
      </c>
      <c r="G63" s="41" t="s">
        <v>18</v>
      </c>
      <c r="H63" s="41" t="s">
        <v>88</v>
      </c>
      <c r="I63" s="96"/>
      <c r="J63" s="96"/>
      <c r="K63" s="47"/>
      <c r="L63" s="76"/>
    </row>
    <row r="64" spans="2:12" s="10" customFormat="1" ht="48.5" customHeight="1" x14ac:dyDescent="0.35">
      <c r="B64" s="315"/>
      <c r="C64" s="38">
        <v>6</v>
      </c>
      <c r="D64" s="39" t="s">
        <v>146</v>
      </c>
      <c r="E64" s="39" t="s">
        <v>8</v>
      </c>
      <c r="F64" s="40" t="s">
        <v>566</v>
      </c>
      <c r="G64" s="41"/>
      <c r="H64" s="41"/>
      <c r="I64" s="96"/>
      <c r="J64" s="96"/>
      <c r="K64" s="47"/>
      <c r="L64" s="76"/>
    </row>
    <row r="65" spans="2:12" s="10" customFormat="1" ht="48.5" customHeight="1" x14ac:dyDescent="0.35">
      <c r="B65" s="315"/>
      <c r="C65" s="38">
        <v>7</v>
      </c>
      <c r="D65" s="39" t="s">
        <v>52</v>
      </c>
      <c r="E65" s="39" t="s">
        <v>8</v>
      </c>
      <c r="F65" s="40" t="s">
        <v>567</v>
      </c>
      <c r="G65" s="41" t="s">
        <v>11</v>
      </c>
      <c r="H65" s="41" t="s">
        <v>31</v>
      </c>
      <c r="I65" s="96"/>
      <c r="J65" s="96"/>
      <c r="K65" s="47"/>
      <c r="L65" s="76"/>
    </row>
    <row r="66" spans="2:12" s="10" customFormat="1" ht="36" customHeight="1" x14ac:dyDescent="0.35">
      <c r="B66" s="316"/>
      <c r="C66" s="38">
        <v>8</v>
      </c>
      <c r="D66" s="39" t="s">
        <v>52</v>
      </c>
      <c r="E66" s="39" t="s">
        <v>60</v>
      </c>
      <c r="F66" s="40" t="s">
        <v>568</v>
      </c>
      <c r="G66" s="41"/>
      <c r="H66" s="41"/>
      <c r="I66" s="96"/>
      <c r="J66" s="96"/>
      <c r="K66" s="47"/>
      <c r="L66" s="76"/>
    </row>
    <row r="67" spans="2:12" s="10" customFormat="1" ht="36.5" customHeight="1" x14ac:dyDescent="0.35">
      <c r="B67" s="122">
        <v>45492</v>
      </c>
      <c r="C67" s="38">
        <v>1</v>
      </c>
      <c r="D67" s="39" t="s">
        <v>47</v>
      </c>
      <c r="E67" s="39" t="s">
        <v>50</v>
      </c>
      <c r="F67" s="40" t="s">
        <v>555</v>
      </c>
      <c r="G67" s="41"/>
      <c r="H67" s="41"/>
      <c r="I67" s="96"/>
      <c r="J67" s="96"/>
      <c r="K67" s="47"/>
      <c r="L67" s="76"/>
    </row>
    <row r="68" spans="2:12" s="10" customFormat="1" ht="58" x14ac:dyDescent="0.35">
      <c r="B68" s="314"/>
      <c r="C68" s="38">
        <v>2</v>
      </c>
      <c r="D68" s="39" t="s">
        <v>52</v>
      </c>
      <c r="E68" s="39" t="s">
        <v>78</v>
      </c>
      <c r="F68" s="40" t="s">
        <v>556</v>
      </c>
      <c r="G68" s="41"/>
      <c r="H68" s="41"/>
      <c r="I68" s="96"/>
      <c r="J68" s="96"/>
      <c r="K68" s="47"/>
      <c r="L68" s="76"/>
    </row>
    <row r="69" spans="2:12" s="10" customFormat="1" ht="31" customHeight="1" x14ac:dyDescent="0.35">
      <c r="B69" s="315"/>
      <c r="C69" s="38">
        <v>3</v>
      </c>
      <c r="D69" s="39" t="s">
        <v>52</v>
      </c>
      <c r="E69" s="39" t="s">
        <v>153</v>
      </c>
      <c r="F69" s="40" t="s">
        <v>557</v>
      </c>
      <c r="G69" s="41"/>
      <c r="H69" s="41"/>
      <c r="I69" s="96"/>
      <c r="J69" s="96"/>
      <c r="K69" s="47"/>
      <c r="L69" s="76"/>
    </row>
    <row r="70" spans="2:12" s="10" customFormat="1" ht="31" customHeight="1" x14ac:dyDescent="0.35">
      <c r="B70" s="315"/>
      <c r="C70" s="38">
        <v>4</v>
      </c>
      <c r="D70" s="39" t="s">
        <v>52</v>
      </c>
      <c r="E70" s="39" t="s">
        <v>65</v>
      </c>
      <c r="F70" s="40" t="s">
        <v>558</v>
      </c>
      <c r="G70" s="41"/>
      <c r="H70" s="41"/>
      <c r="I70" s="96"/>
      <c r="J70" s="96"/>
      <c r="K70" s="47"/>
      <c r="L70" s="76"/>
    </row>
    <row r="71" spans="2:12" s="10" customFormat="1" ht="29" customHeight="1" x14ac:dyDescent="0.35">
      <c r="B71" s="315"/>
      <c r="C71" s="38">
        <v>5</v>
      </c>
      <c r="D71" s="39" t="s">
        <v>52</v>
      </c>
      <c r="E71" s="39" t="s">
        <v>64</v>
      </c>
      <c r="F71" s="40" t="s">
        <v>559</v>
      </c>
      <c r="G71" s="41"/>
      <c r="H71" s="41"/>
      <c r="I71" s="96"/>
      <c r="J71" s="96"/>
      <c r="K71" s="47"/>
      <c r="L71" s="76"/>
    </row>
    <row r="72" spans="2:12" s="10" customFormat="1" ht="43.5" x14ac:dyDescent="0.35">
      <c r="B72" s="316"/>
      <c r="C72" s="19">
        <v>6</v>
      </c>
      <c r="D72" s="11" t="s">
        <v>52</v>
      </c>
      <c r="E72" s="11" t="s">
        <v>37</v>
      </c>
      <c r="F72" s="6" t="s">
        <v>560</v>
      </c>
      <c r="G72" s="41"/>
      <c r="H72" s="33"/>
      <c r="I72" s="7"/>
      <c r="J72" s="8"/>
      <c r="K72" s="8"/>
      <c r="L72" s="6"/>
    </row>
    <row r="73" spans="2:12" s="10" customFormat="1" ht="23.5" customHeight="1" x14ac:dyDescent="0.35">
      <c r="B73" s="288" t="s">
        <v>53</v>
      </c>
      <c r="C73" s="288"/>
      <c r="D73" s="288"/>
      <c r="E73" s="288"/>
      <c r="F73" s="288"/>
      <c r="G73" s="288"/>
      <c r="H73" s="288"/>
      <c r="I73" s="288"/>
      <c r="J73" s="288"/>
      <c r="K73" s="288"/>
      <c r="L73" s="290"/>
    </row>
    <row r="74" spans="2:12" s="10" customFormat="1" ht="44" customHeight="1" x14ac:dyDescent="0.35">
      <c r="B74" s="122">
        <v>45495</v>
      </c>
      <c r="C74" s="19"/>
      <c r="D74" s="11"/>
      <c r="E74" s="11" t="s">
        <v>424</v>
      </c>
      <c r="F74" s="6" t="s">
        <v>585</v>
      </c>
      <c r="G74" s="33"/>
      <c r="H74" s="33"/>
      <c r="I74" s="5"/>
      <c r="J74" s="8"/>
      <c r="K74" s="8"/>
      <c r="L74" s="6"/>
    </row>
    <row r="75" spans="2:12" s="10" customFormat="1" ht="44" customHeight="1" x14ac:dyDescent="0.35">
      <c r="B75" s="122">
        <v>45496</v>
      </c>
      <c r="C75" s="19"/>
      <c r="D75" s="11"/>
      <c r="E75" s="11" t="s">
        <v>424</v>
      </c>
      <c r="F75" s="6" t="s">
        <v>585</v>
      </c>
      <c r="G75" s="5"/>
      <c r="H75" s="33"/>
      <c r="I75" s="5"/>
      <c r="J75" s="8"/>
      <c r="K75" s="8"/>
      <c r="L75" s="9"/>
    </row>
    <row r="76" spans="2:12" s="10" customFormat="1" ht="44" customHeight="1" x14ac:dyDescent="0.35">
      <c r="B76" s="122">
        <v>45497</v>
      </c>
      <c r="C76" s="19"/>
      <c r="D76" s="42"/>
      <c r="E76" s="93" t="s">
        <v>424</v>
      </c>
      <c r="F76" s="6" t="s">
        <v>585</v>
      </c>
      <c r="G76" s="39"/>
      <c r="H76" s="33"/>
      <c r="I76" s="5"/>
      <c r="J76" s="8"/>
      <c r="K76" s="8"/>
      <c r="L76" s="45"/>
    </row>
    <row r="77" spans="2:12" s="10" customFormat="1" ht="52.5" customHeight="1" x14ac:dyDescent="0.35">
      <c r="B77" s="314">
        <v>45527</v>
      </c>
      <c r="C77" s="19">
        <v>1</v>
      </c>
      <c r="D77" s="39" t="s">
        <v>52</v>
      </c>
      <c r="E77" s="93" t="s">
        <v>596</v>
      </c>
      <c r="F77" s="40" t="s">
        <v>597</v>
      </c>
      <c r="G77" s="39"/>
      <c r="H77" s="33"/>
      <c r="I77" s="5"/>
      <c r="J77" s="8"/>
      <c r="K77" s="8"/>
      <c r="L77" s="45"/>
    </row>
    <row r="78" spans="2:12" s="10" customFormat="1" ht="30" customHeight="1" x14ac:dyDescent="0.35">
      <c r="B78" s="315"/>
      <c r="C78" s="38">
        <v>2</v>
      </c>
      <c r="D78" s="39" t="s">
        <v>24</v>
      </c>
      <c r="E78" s="42" t="s">
        <v>599</v>
      </c>
      <c r="F78" s="40" t="s">
        <v>600</v>
      </c>
      <c r="G78" s="39"/>
      <c r="H78" s="33"/>
      <c r="I78" s="5"/>
      <c r="J78" s="8"/>
      <c r="K78" s="8"/>
      <c r="L78" s="45"/>
    </row>
    <row r="79" spans="2:12" s="10" customFormat="1" ht="30" customHeight="1" x14ac:dyDescent="0.35">
      <c r="B79" s="315"/>
      <c r="C79" s="38">
        <v>3</v>
      </c>
      <c r="D79" s="39" t="s">
        <v>29</v>
      </c>
      <c r="E79" s="42" t="s">
        <v>50</v>
      </c>
      <c r="F79" s="40" t="s">
        <v>598</v>
      </c>
      <c r="G79" s="39"/>
      <c r="H79" s="33"/>
      <c r="I79" s="5"/>
      <c r="J79" s="8"/>
      <c r="K79" s="8"/>
      <c r="L79" s="45"/>
    </row>
    <row r="80" spans="2:12" s="10" customFormat="1" ht="33.5" customHeight="1" x14ac:dyDescent="0.35">
      <c r="B80" s="316"/>
      <c r="C80" s="38">
        <v>4</v>
      </c>
      <c r="D80" s="42" t="s">
        <v>52</v>
      </c>
      <c r="E80" s="42" t="s">
        <v>48</v>
      </c>
      <c r="F80" s="40" t="s">
        <v>601</v>
      </c>
      <c r="G80" s="41"/>
      <c r="H80" s="33"/>
      <c r="I80" s="47"/>
      <c r="J80" s="8"/>
      <c r="K80" s="8"/>
      <c r="L80" s="75"/>
    </row>
    <row r="81" spans="2:12" s="10" customFormat="1" ht="33.5" customHeight="1" x14ac:dyDescent="0.35">
      <c r="B81" s="314">
        <v>45499</v>
      </c>
      <c r="C81" s="38">
        <v>1</v>
      </c>
      <c r="D81" s="42" t="s">
        <v>52</v>
      </c>
      <c r="E81" s="42" t="s">
        <v>48</v>
      </c>
      <c r="F81" s="40" t="s">
        <v>680</v>
      </c>
      <c r="G81" s="41"/>
      <c r="H81" s="41"/>
      <c r="I81" s="47"/>
      <c r="J81" s="8"/>
      <c r="K81" s="8"/>
      <c r="L81" s="75"/>
    </row>
    <row r="82" spans="2:12" s="10" customFormat="1" ht="43.5" x14ac:dyDescent="0.35">
      <c r="B82" s="315"/>
      <c r="C82" s="38">
        <v>2</v>
      </c>
      <c r="D82" s="42" t="s">
        <v>29</v>
      </c>
      <c r="E82" s="93" t="s">
        <v>681</v>
      </c>
      <c r="F82" s="40" t="s">
        <v>682</v>
      </c>
      <c r="G82" s="41"/>
      <c r="H82" s="41"/>
      <c r="I82" s="47"/>
      <c r="J82" s="8"/>
      <c r="K82" s="21"/>
      <c r="L82" s="75"/>
    </row>
    <row r="83" spans="2:12" s="10" customFormat="1" ht="34" customHeight="1" x14ac:dyDescent="0.35">
      <c r="B83" s="316"/>
      <c r="C83" s="38">
        <v>1</v>
      </c>
      <c r="D83" s="39" t="s">
        <v>24</v>
      </c>
      <c r="E83" s="39" t="s">
        <v>57</v>
      </c>
      <c r="F83" s="40" t="s">
        <v>683</v>
      </c>
      <c r="G83" s="41"/>
      <c r="H83" s="41"/>
      <c r="I83" s="7"/>
      <c r="J83" s="44"/>
      <c r="K83" s="44"/>
      <c r="L83" s="45"/>
    </row>
    <row r="84" spans="2:12" s="10" customFormat="1" ht="34" customHeight="1" x14ac:dyDescent="0.35">
      <c r="B84" s="80"/>
      <c r="C84" s="38">
        <v>2</v>
      </c>
      <c r="D84" s="39" t="s">
        <v>52</v>
      </c>
      <c r="E84" s="39" t="s">
        <v>8</v>
      </c>
      <c r="F84" s="227" t="s">
        <v>685</v>
      </c>
      <c r="G84" s="41"/>
      <c r="H84" s="41"/>
      <c r="I84" s="7"/>
      <c r="J84" s="44"/>
      <c r="K84" s="44"/>
      <c r="L84" s="45"/>
    </row>
    <row r="85" spans="2:12" s="10" customFormat="1" ht="43.5" x14ac:dyDescent="0.35">
      <c r="B85" s="80"/>
      <c r="C85" s="38">
        <v>3</v>
      </c>
      <c r="D85" s="39" t="s">
        <v>52</v>
      </c>
      <c r="E85" s="39" t="s">
        <v>76</v>
      </c>
      <c r="F85" s="40" t="s">
        <v>686</v>
      </c>
      <c r="G85" s="41"/>
      <c r="H85" s="41"/>
      <c r="I85" s="7"/>
      <c r="J85" s="44"/>
      <c r="K85" s="44"/>
      <c r="L85" s="45"/>
    </row>
    <row r="86" spans="2:12" s="10" customFormat="1" ht="29" x14ac:dyDescent="0.35">
      <c r="B86" s="80"/>
      <c r="C86" s="38">
        <v>4</v>
      </c>
      <c r="D86" s="39" t="s">
        <v>52</v>
      </c>
      <c r="E86" s="39" t="s">
        <v>665</v>
      </c>
      <c r="F86" s="40" t="s">
        <v>687</v>
      </c>
      <c r="G86" s="41"/>
      <c r="H86" s="41"/>
      <c r="I86" s="7"/>
      <c r="J86" s="44"/>
      <c r="K86" s="44"/>
      <c r="L86" s="45"/>
    </row>
    <row r="87" spans="2:12" s="10" customFormat="1" ht="72.5" x14ac:dyDescent="0.35">
      <c r="B87" s="102"/>
      <c r="C87" s="38">
        <v>5</v>
      </c>
      <c r="D87" s="39" t="s">
        <v>52</v>
      </c>
      <c r="E87" s="39" t="s">
        <v>8</v>
      </c>
      <c r="F87" s="40" t="s">
        <v>688</v>
      </c>
      <c r="G87" s="41"/>
      <c r="H87" s="41"/>
      <c r="I87" s="7"/>
      <c r="J87" s="44"/>
      <c r="K87" s="44"/>
      <c r="L87" s="45"/>
    </row>
    <row r="88" spans="2:12" s="10" customFormat="1" ht="49.5" customHeight="1" x14ac:dyDescent="0.35">
      <c r="B88" s="122">
        <v>45502</v>
      </c>
      <c r="C88" s="38">
        <v>6</v>
      </c>
      <c r="D88" s="39" t="s">
        <v>449</v>
      </c>
      <c r="E88" s="41" t="s">
        <v>48</v>
      </c>
      <c r="F88" s="40" t="s">
        <v>689</v>
      </c>
      <c r="G88" s="41"/>
      <c r="H88" s="41"/>
      <c r="I88" s="7"/>
      <c r="J88" s="44"/>
      <c r="K88" s="44"/>
      <c r="L88" s="45"/>
    </row>
    <row r="89" spans="2:12" s="10" customFormat="1" ht="33.5" customHeight="1" x14ac:dyDescent="0.35">
      <c r="B89" s="80">
        <v>45501</v>
      </c>
      <c r="C89" s="38">
        <v>1</v>
      </c>
      <c r="D89" s="39" t="s">
        <v>24</v>
      </c>
      <c r="E89" s="39" t="s">
        <v>50</v>
      </c>
      <c r="F89" s="40" t="s">
        <v>690</v>
      </c>
      <c r="G89" s="41"/>
      <c r="H89" s="41"/>
      <c r="I89" s="7"/>
      <c r="J89" s="44"/>
      <c r="K89" s="44"/>
      <c r="L89" s="45"/>
    </row>
    <row r="90" spans="2:12" s="10" customFormat="1" ht="37" customHeight="1" x14ac:dyDescent="0.35">
      <c r="B90" s="26"/>
      <c r="C90" s="38">
        <v>2</v>
      </c>
      <c r="D90" s="39" t="s">
        <v>52</v>
      </c>
      <c r="E90" s="39" t="s">
        <v>691</v>
      </c>
      <c r="F90" s="40" t="s">
        <v>692</v>
      </c>
      <c r="G90" s="41"/>
      <c r="H90" s="41"/>
      <c r="I90" s="7"/>
      <c r="J90" s="44"/>
      <c r="K90" s="44"/>
      <c r="L90" s="45"/>
    </row>
    <row r="91" spans="2:12" s="10" customFormat="1" ht="43.5" x14ac:dyDescent="0.35">
      <c r="B91" s="65"/>
      <c r="C91" s="38">
        <v>3</v>
      </c>
      <c r="D91" s="39" t="s">
        <v>52</v>
      </c>
      <c r="E91" s="39" t="s">
        <v>48</v>
      </c>
      <c r="F91" s="40" t="s">
        <v>695</v>
      </c>
      <c r="G91" s="41"/>
      <c r="H91" s="41"/>
      <c r="I91" s="7"/>
      <c r="J91" s="44"/>
      <c r="K91" s="44"/>
      <c r="L91" s="45"/>
    </row>
    <row r="92" spans="2:12" s="10" customFormat="1" ht="45" customHeight="1" x14ac:dyDescent="0.35">
      <c r="B92" s="80">
        <v>45503</v>
      </c>
      <c r="C92" s="38">
        <v>4</v>
      </c>
      <c r="D92" s="39" t="s">
        <v>52</v>
      </c>
      <c r="E92" s="93" t="s">
        <v>60</v>
      </c>
      <c r="F92" s="207" t="s">
        <v>693</v>
      </c>
      <c r="G92" s="41"/>
      <c r="H92" s="41"/>
      <c r="I92" s="7"/>
      <c r="J92" s="44"/>
      <c r="K92" s="44"/>
      <c r="L92" s="76"/>
    </row>
    <row r="93" spans="2:12" s="10" customFormat="1" ht="35.5" customHeight="1" x14ac:dyDescent="0.35">
      <c r="B93" s="80"/>
      <c r="C93" s="38">
        <v>5</v>
      </c>
      <c r="D93" s="39" t="s">
        <v>52</v>
      </c>
      <c r="E93" s="93" t="s">
        <v>60</v>
      </c>
      <c r="F93" s="76" t="s">
        <v>694</v>
      </c>
      <c r="G93" s="41"/>
      <c r="H93" s="41"/>
      <c r="I93" s="7"/>
      <c r="J93" s="44"/>
      <c r="K93" s="44"/>
      <c r="L93" s="76"/>
    </row>
    <row r="94" spans="2:12" s="10" customFormat="1" ht="56.5" customHeight="1" x14ac:dyDescent="0.35">
      <c r="B94" s="102"/>
      <c r="C94" s="38">
        <v>6</v>
      </c>
      <c r="D94" s="39" t="s">
        <v>52</v>
      </c>
      <c r="E94" s="39" t="s">
        <v>48</v>
      </c>
      <c r="F94" s="76" t="s">
        <v>696</v>
      </c>
      <c r="G94" s="41"/>
      <c r="H94" s="41"/>
      <c r="I94" s="7"/>
      <c r="J94" s="44"/>
      <c r="K94" s="44"/>
      <c r="L94" s="76"/>
    </row>
    <row r="95" spans="2:12" s="10" customFormat="1" ht="110.5" customHeight="1" x14ac:dyDescent="0.35">
      <c r="B95" s="80">
        <v>45533</v>
      </c>
      <c r="C95" s="38">
        <v>1</v>
      </c>
      <c r="D95" s="39" t="s">
        <v>52</v>
      </c>
      <c r="E95" s="93" t="s">
        <v>82</v>
      </c>
      <c r="F95" s="76" t="s">
        <v>698</v>
      </c>
      <c r="G95" s="41"/>
      <c r="H95" s="41"/>
      <c r="I95" s="7"/>
      <c r="J95" s="44"/>
      <c r="K95" s="44"/>
      <c r="L95" s="76"/>
    </row>
    <row r="96" spans="2:12" s="10" customFormat="1" ht="78" customHeight="1" x14ac:dyDescent="0.35">
      <c r="B96" s="314">
        <v>45534</v>
      </c>
      <c r="C96" s="38">
        <v>1</v>
      </c>
      <c r="D96" s="39" t="s">
        <v>52</v>
      </c>
      <c r="E96" s="93" t="s">
        <v>82</v>
      </c>
      <c r="F96" s="76" t="s">
        <v>697</v>
      </c>
      <c r="G96" s="41" t="s">
        <v>11</v>
      </c>
      <c r="H96" s="41" t="s">
        <v>84</v>
      </c>
      <c r="I96" s="232"/>
      <c r="J96" s="44"/>
      <c r="K96" s="44"/>
      <c r="L96" s="76"/>
    </row>
    <row r="97" spans="2:12" s="10" customFormat="1" ht="29" x14ac:dyDescent="0.35">
      <c r="B97" s="315"/>
      <c r="C97" s="5">
        <v>1</v>
      </c>
      <c r="D97" s="5" t="s">
        <v>24</v>
      </c>
      <c r="E97" s="5" t="s">
        <v>8</v>
      </c>
      <c r="F97" s="6" t="s">
        <v>699</v>
      </c>
      <c r="G97" s="5"/>
      <c r="H97" s="5"/>
      <c r="I97" s="5"/>
      <c r="J97" s="24"/>
      <c r="K97" s="24"/>
      <c r="L97" s="5"/>
    </row>
    <row r="98" spans="2:12" s="10" customFormat="1" ht="72.5" x14ac:dyDescent="0.35">
      <c r="B98" s="316"/>
      <c r="C98" s="5">
        <v>2</v>
      </c>
      <c r="D98" s="5" t="s">
        <v>24</v>
      </c>
      <c r="E98" s="5" t="s">
        <v>8</v>
      </c>
      <c r="F98" s="6" t="s">
        <v>700</v>
      </c>
      <c r="G98" s="5"/>
      <c r="H98" s="5"/>
      <c r="I98" s="5"/>
      <c r="J98" s="24"/>
      <c r="K98" s="24"/>
      <c r="L98" s="5"/>
    </row>
    <row r="99" spans="2:12" x14ac:dyDescent="0.35">
      <c r="B99" s="220"/>
    </row>
    <row r="100" spans="2:12" x14ac:dyDescent="0.35">
      <c r="B100" s="220"/>
    </row>
  </sheetData>
  <autoFilter ref="B5:L16" xr:uid="{56A57403-6C9F-4990-92E8-C7BD8A01C5EE}">
    <filterColumn colId="7" showButton="0"/>
    <filterColumn colId="8" showButton="0"/>
  </autoFilter>
  <mergeCells count="27">
    <mergeCell ref="B96:B98"/>
    <mergeCell ref="B55:B58"/>
    <mergeCell ref="B77:B80"/>
    <mergeCell ref="B81:B83"/>
    <mergeCell ref="B68:B72"/>
    <mergeCell ref="B59:B66"/>
    <mergeCell ref="B73:L73"/>
    <mergeCell ref="B44:L44"/>
    <mergeCell ref="B16:B19"/>
    <mergeCell ref="B45:B49"/>
    <mergeCell ref="B50:B54"/>
    <mergeCell ref="B33:B36"/>
    <mergeCell ref="B40:L40"/>
    <mergeCell ref="B10:B15"/>
    <mergeCell ref="B20:B25"/>
    <mergeCell ref="B27:B32"/>
    <mergeCell ref="H5:H6"/>
    <mergeCell ref="I5:K5"/>
    <mergeCell ref="B26:L26"/>
    <mergeCell ref="L5:L6"/>
    <mergeCell ref="B7:L7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877C-985D-4089-9F3E-7E2C74FC1D8B}">
  <sheetPr>
    <tabColor rgb="FF00B0F0"/>
  </sheetPr>
  <dimension ref="B1:L101"/>
  <sheetViews>
    <sheetView showGridLines="0" zoomScale="85" zoomScaleNormal="85" workbookViewId="0">
      <pane xSplit="5" ySplit="7" topLeftCell="F88" activePane="bottomRight" state="frozen"/>
      <selection activeCell="E98" sqref="E98"/>
      <selection pane="topRight" activeCell="E98" sqref="E98"/>
      <selection pane="bottomLeft" activeCell="E98" sqref="E98"/>
      <selection pane="bottomRight" activeCell="F88" sqref="F88"/>
    </sheetView>
  </sheetViews>
  <sheetFormatPr defaultRowHeight="14.5" x14ac:dyDescent="0.35"/>
  <cols>
    <col min="1" max="1" width="4.54296875" customWidth="1"/>
    <col min="2" max="2" width="29.6328125" style="2" bestFit="1" customWidth="1"/>
    <col min="3" max="3" width="5.08984375" customWidth="1"/>
    <col min="4" max="4" width="9.36328125" style="2" customWidth="1"/>
    <col min="5" max="5" width="13.26953125" style="2" bestFit="1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50.1796875" style="2" customWidth="1"/>
  </cols>
  <sheetData>
    <row r="1" spans="2:12" x14ac:dyDescent="0.35">
      <c r="B1" s="18" t="s">
        <v>2</v>
      </c>
      <c r="C1" s="18"/>
    </row>
    <row r="2" spans="2:12" x14ac:dyDescent="0.35">
      <c r="B2" s="18" t="s">
        <v>19</v>
      </c>
      <c r="C2" s="1"/>
    </row>
    <row r="3" spans="2:12" x14ac:dyDescent="0.35">
      <c r="B3" s="18" t="s">
        <v>185</v>
      </c>
      <c r="C3" s="1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344" t="s">
        <v>15</v>
      </c>
      <c r="C7" s="344"/>
      <c r="D7" s="344"/>
      <c r="E7" s="344"/>
      <c r="F7" s="344"/>
      <c r="G7" s="344"/>
      <c r="H7" s="344"/>
      <c r="I7" s="344"/>
      <c r="J7" s="344"/>
      <c r="K7" s="344"/>
      <c r="L7" s="344"/>
    </row>
    <row r="8" spans="2:12" s="10" customFormat="1" ht="27" customHeight="1" x14ac:dyDescent="0.35">
      <c r="B8" s="314">
        <v>45446</v>
      </c>
      <c r="C8" s="38">
        <v>1</v>
      </c>
      <c r="D8" s="39" t="s">
        <v>49</v>
      </c>
      <c r="E8" s="39" t="s">
        <v>50</v>
      </c>
      <c r="F8" s="40" t="s">
        <v>472</v>
      </c>
      <c r="G8" s="41" t="s">
        <v>112</v>
      </c>
      <c r="H8" s="41"/>
      <c r="I8" s="96"/>
      <c r="J8" s="96"/>
      <c r="K8" s="47"/>
      <c r="L8" s="76"/>
    </row>
    <row r="9" spans="2:12" s="10" customFormat="1" ht="87" x14ac:dyDescent="0.35">
      <c r="B9" s="315"/>
      <c r="C9" s="38">
        <v>2</v>
      </c>
      <c r="D9" s="39" t="s">
        <v>47</v>
      </c>
      <c r="E9" s="39" t="s">
        <v>42</v>
      </c>
      <c r="F9" s="76" t="s">
        <v>477</v>
      </c>
      <c r="G9" s="41"/>
      <c r="H9" s="41"/>
      <c r="I9" s="96"/>
      <c r="J9" s="96"/>
      <c r="K9" s="47"/>
      <c r="L9" s="76"/>
    </row>
    <row r="10" spans="2:12" s="10" customFormat="1" ht="29" x14ac:dyDescent="0.35">
      <c r="B10" s="315"/>
      <c r="C10" s="38">
        <v>3</v>
      </c>
      <c r="D10" s="39" t="s">
        <v>47</v>
      </c>
      <c r="E10" s="39" t="s">
        <v>48</v>
      </c>
      <c r="F10" s="40" t="s">
        <v>478</v>
      </c>
      <c r="G10" s="41"/>
      <c r="H10" s="41"/>
      <c r="I10" s="96"/>
      <c r="J10" s="96"/>
      <c r="K10" s="47"/>
      <c r="L10" s="76"/>
    </row>
    <row r="11" spans="2:12" s="10" customFormat="1" ht="29" x14ac:dyDescent="0.35">
      <c r="B11" s="315"/>
      <c r="C11" s="38">
        <v>4</v>
      </c>
      <c r="D11" s="39" t="s">
        <v>47</v>
      </c>
      <c r="E11" s="39" t="s">
        <v>50</v>
      </c>
      <c r="F11" s="40" t="s">
        <v>473</v>
      </c>
      <c r="G11" s="41"/>
      <c r="H11" s="41"/>
      <c r="I11" s="96"/>
      <c r="J11" s="96"/>
      <c r="K11" s="47"/>
      <c r="L11" s="76"/>
    </row>
    <row r="12" spans="2:12" s="10" customFormat="1" ht="58" x14ac:dyDescent="0.35">
      <c r="B12" s="315"/>
      <c r="C12" s="38">
        <v>5</v>
      </c>
      <c r="D12" s="39" t="s">
        <v>47</v>
      </c>
      <c r="E12" s="39" t="s">
        <v>48</v>
      </c>
      <c r="F12" s="40" t="s">
        <v>479</v>
      </c>
      <c r="G12" s="41"/>
      <c r="H12" s="41"/>
      <c r="I12" s="96"/>
      <c r="J12" s="96"/>
      <c r="K12" s="47"/>
      <c r="L12" s="76"/>
    </row>
    <row r="13" spans="2:12" s="10" customFormat="1" ht="63" customHeight="1" x14ac:dyDescent="0.35">
      <c r="B13" s="316"/>
      <c r="C13" s="38">
        <v>6</v>
      </c>
      <c r="D13" s="39" t="s">
        <v>47</v>
      </c>
      <c r="E13" s="39" t="s">
        <v>42</v>
      </c>
      <c r="F13" s="40" t="s">
        <v>480</v>
      </c>
      <c r="G13" s="41"/>
      <c r="H13" s="41"/>
      <c r="I13" s="96"/>
      <c r="J13" s="96"/>
      <c r="K13" s="47"/>
      <c r="L13" s="76"/>
    </row>
    <row r="14" spans="2:12" s="10" customFormat="1" ht="29" x14ac:dyDescent="0.35">
      <c r="B14" s="314">
        <v>45447</v>
      </c>
      <c r="C14" s="38">
        <v>1</v>
      </c>
      <c r="D14" s="39" t="s">
        <v>47</v>
      </c>
      <c r="E14" s="39" t="s">
        <v>50</v>
      </c>
      <c r="F14" s="40" t="s">
        <v>474</v>
      </c>
      <c r="G14" s="41"/>
      <c r="H14" s="41"/>
      <c r="I14" s="96"/>
      <c r="J14" s="96"/>
      <c r="K14" s="47"/>
      <c r="L14" s="76"/>
    </row>
    <row r="15" spans="2:12" s="10" customFormat="1" ht="58" x14ac:dyDescent="0.35">
      <c r="B15" s="315"/>
      <c r="C15" s="38">
        <v>2</v>
      </c>
      <c r="D15" s="39" t="s">
        <v>47</v>
      </c>
      <c r="E15" s="39" t="s">
        <v>14</v>
      </c>
      <c r="F15" s="40" t="s">
        <v>488</v>
      </c>
      <c r="G15" s="41" t="s">
        <v>43</v>
      </c>
      <c r="H15" s="41" t="s">
        <v>38</v>
      </c>
      <c r="I15" s="96"/>
      <c r="J15" s="96"/>
      <c r="K15" s="47"/>
      <c r="L15" s="76"/>
    </row>
    <row r="16" spans="2:12" s="10" customFormat="1" ht="29" x14ac:dyDescent="0.35">
      <c r="B16" s="316"/>
      <c r="C16" s="38">
        <v>3</v>
      </c>
      <c r="D16" s="39" t="s">
        <v>52</v>
      </c>
      <c r="E16" s="39" t="s">
        <v>14</v>
      </c>
      <c r="F16" s="40" t="s">
        <v>489</v>
      </c>
      <c r="G16" s="41" t="s">
        <v>191</v>
      </c>
      <c r="H16" s="41" t="s">
        <v>43</v>
      </c>
      <c r="I16" s="96"/>
      <c r="J16" s="96"/>
      <c r="K16" s="47"/>
      <c r="L16" s="76" t="s">
        <v>490</v>
      </c>
    </row>
    <row r="17" spans="2:12" s="10" customFormat="1" ht="29" x14ac:dyDescent="0.35">
      <c r="B17" s="314">
        <v>45448</v>
      </c>
      <c r="C17" s="38">
        <v>1</v>
      </c>
      <c r="D17" s="39" t="s">
        <v>47</v>
      </c>
      <c r="E17" s="39" t="s">
        <v>50</v>
      </c>
      <c r="F17" s="40" t="s">
        <v>475</v>
      </c>
      <c r="G17" s="41" t="s">
        <v>121</v>
      </c>
      <c r="H17" s="41"/>
      <c r="I17" s="96"/>
      <c r="J17" s="96"/>
      <c r="K17" s="47"/>
      <c r="L17" s="76"/>
    </row>
    <row r="18" spans="2:12" s="10" customFormat="1" ht="43.5" x14ac:dyDescent="0.35">
      <c r="B18" s="315"/>
      <c r="C18" s="38">
        <v>2</v>
      </c>
      <c r="D18" s="39" t="s">
        <v>52</v>
      </c>
      <c r="E18" s="39" t="s">
        <v>491</v>
      </c>
      <c r="F18" s="40" t="s">
        <v>493</v>
      </c>
      <c r="G18" s="41" t="s">
        <v>18</v>
      </c>
      <c r="H18" s="41" t="s">
        <v>77</v>
      </c>
      <c r="I18" s="96"/>
      <c r="J18" s="96"/>
      <c r="K18" s="47"/>
      <c r="L18" s="76"/>
    </row>
    <row r="19" spans="2:12" s="10" customFormat="1" ht="36.5" customHeight="1" x14ac:dyDescent="0.35">
      <c r="B19" s="315"/>
      <c r="C19" s="38">
        <v>3</v>
      </c>
      <c r="D19" s="39" t="s">
        <v>89</v>
      </c>
      <c r="E19" s="39" t="s">
        <v>50</v>
      </c>
      <c r="F19" s="40" t="s">
        <v>476</v>
      </c>
      <c r="G19" s="41" t="s">
        <v>124</v>
      </c>
      <c r="H19" s="41"/>
      <c r="I19" s="96"/>
      <c r="J19" s="96"/>
      <c r="K19" s="47"/>
      <c r="L19" s="76"/>
    </row>
    <row r="20" spans="2:12" s="10" customFormat="1" ht="43.5" x14ac:dyDescent="0.35">
      <c r="B20" s="315"/>
      <c r="C20" s="38">
        <v>4</v>
      </c>
      <c r="D20" s="39" t="s">
        <v>24</v>
      </c>
      <c r="E20" s="39" t="s">
        <v>50</v>
      </c>
      <c r="F20" s="40" t="s">
        <v>492</v>
      </c>
      <c r="G20" s="41" t="s">
        <v>110</v>
      </c>
      <c r="H20" s="41"/>
      <c r="I20" s="96"/>
      <c r="J20" s="96"/>
      <c r="K20" s="47"/>
      <c r="L20" s="76"/>
    </row>
    <row r="21" spans="2:12" s="10" customFormat="1" ht="29" x14ac:dyDescent="0.35">
      <c r="B21" s="316"/>
      <c r="C21" s="38">
        <v>5</v>
      </c>
      <c r="D21" s="39" t="s">
        <v>52</v>
      </c>
      <c r="E21" s="39" t="s">
        <v>35</v>
      </c>
      <c r="F21" s="40" t="s">
        <v>494</v>
      </c>
      <c r="G21" s="41"/>
      <c r="H21" s="41"/>
      <c r="I21" s="96"/>
      <c r="J21" s="96"/>
      <c r="K21" s="47"/>
      <c r="L21" s="76"/>
    </row>
    <row r="22" spans="2:12" s="10" customFormat="1" ht="58" x14ac:dyDescent="0.35">
      <c r="B22" s="314">
        <v>45449</v>
      </c>
      <c r="C22" s="38">
        <v>1</v>
      </c>
      <c r="D22" s="39" t="s">
        <v>47</v>
      </c>
      <c r="E22" s="39" t="s">
        <v>50</v>
      </c>
      <c r="F22" s="40" t="s">
        <v>471</v>
      </c>
      <c r="G22" s="41" t="s">
        <v>121</v>
      </c>
      <c r="H22" s="41"/>
      <c r="I22" s="96"/>
      <c r="J22" s="96"/>
      <c r="K22" s="47"/>
      <c r="L22" s="76"/>
    </row>
    <row r="23" spans="2:12" s="10" customFormat="1" ht="29" x14ac:dyDescent="0.35">
      <c r="B23" s="315"/>
      <c r="C23" s="38">
        <v>2</v>
      </c>
      <c r="D23" s="39" t="s">
        <v>24</v>
      </c>
      <c r="E23" s="39" t="s">
        <v>97</v>
      </c>
      <c r="F23" s="40" t="s">
        <v>495</v>
      </c>
      <c r="G23" s="41"/>
      <c r="H23" s="41"/>
      <c r="I23" s="96"/>
      <c r="J23" s="96"/>
      <c r="K23" s="47"/>
      <c r="L23" s="76"/>
    </row>
    <row r="24" spans="2:12" s="10" customFormat="1" ht="29" x14ac:dyDescent="0.35">
      <c r="B24" s="315"/>
      <c r="C24" s="38">
        <v>3</v>
      </c>
      <c r="D24" s="39" t="s">
        <v>52</v>
      </c>
      <c r="E24" s="39" t="s">
        <v>135</v>
      </c>
      <c r="F24" s="40" t="s">
        <v>497</v>
      </c>
      <c r="G24" s="41"/>
      <c r="H24" s="41"/>
      <c r="I24" s="96"/>
      <c r="J24" s="96"/>
      <c r="K24" s="47"/>
      <c r="L24" s="76"/>
    </row>
    <row r="25" spans="2:12" s="10" customFormat="1" ht="29" x14ac:dyDescent="0.35">
      <c r="B25" s="316"/>
      <c r="C25" s="38">
        <v>4</v>
      </c>
      <c r="D25" s="39" t="s">
        <v>52</v>
      </c>
      <c r="E25" s="39" t="s">
        <v>60</v>
      </c>
      <c r="F25" s="40" t="s">
        <v>498</v>
      </c>
      <c r="G25" s="41"/>
      <c r="H25" s="41"/>
      <c r="I25" s="96"/>
      <c r="J25" s="96"/>
      <c r="K25" s="47"/>
      <c r="L25" s="76"/>
    </row>
    <row r="26" spans="2:12" s="10" customFormat="1" ht="29" x14ac:dyDescent="0.35">
      <c r="B26" s="314">
        <v>45450</v>
      </c>
      <c r="C26" s="38">
        <v>1</v>
      </c>
      <c r="D26" s="39" t="s">
        <v>89</v>
      </c>
      <c r="E26" s="39" t="s">
        <v>97</v>
      </c>
      <c r="F26" s="40" t="s">
        <v>496</v>
      </c>
      <c r="G26" s="41"/>
      <c r="H26" s="41"/>
      <c r="I26" s="96"/>
      <c r="J26" s="96"/>
      <c r="K26" s="47"/>
      <c r="L26" s="76"/>
    </row>
    <row r="27" spans="2:12" s="10" customFormat="1" ht="34.5" customHeight="1" x14ac:dyDescent="0.35">
      <c r="B27" s="315"/>
      <c r="C27" s="38">
        <v>2</v>
      </c>
      <c r="D27" s="39" t="s">
        <v>52</v>
      </c>
      <c r="E27" s="39" t="s">
        <v>92</v>
      </c>
      <c r="F27" s="40" t="s">
        <v>499</v>
      </c>
      <c r="G27" s="41"/>
      <c r="H27" s="41"/>
      <c r="I27" s="96"/>
      <c r="J27" s="96"/>
      <c r="K27" s="47"/>
      <c r="L27" s="76"/>
    </row>
    <row r="28" spans="2:12" s="10" customFormat="1" ht="27" customHeight="1" x14ac:dyDescent="0.35">
      <c r="B28" s="316"/>
      <c r="C28" s="38">
        <v>3</v>
      </c>
      <c r="D28" s="39" t="s">
        <v>52</v>
      </c>
      <c r="E28" s="39" t="s">
        <v>37</v>
      </c>
      <c r="F28" s="40" t="s">
        <v>500</v>
      </c>
      <c r="G28" s="41"/>
      <c r="H28" s="41"/>
      <c r="I28" s="96"/>
      <c r="J28" s="96"/>
      <c r="K28" s="47"/>
      <c r="L28" s="76"/>
    </row>
    <row r="29" spans="2:12" s="10" customFormat="1" ht="23.5" customHeight="1" x14ac:dyDescent="0.35">
      <c r="B29" s="288" t="s">
        <v>45</v>
      </c>
      <c r="C29" s="288"/>
      <c r="D29" s="288"/>
      <c r="E29" s="288"/>
      <c r="F29" s="288"/>
      <c r="G29" s="288"/>
      <c r="H29" s="288"/>
      <c r="I29" s="288"/>
      <c r="J29" s="288"/>
      <c r="K29" s="288"/>
      <c r="L29" s="290"/>
    </row>
    <row r="30" spans="2:12" s="10" customFormat="1" ht="35" customHeight="1" x14ac:dyDescent="0.35">
      <c r="B30" s="314">
        <v>45453</v>
      </c>
      <c r="C30" s="19">
        <v>1</v>
      </c>
      <c r="D30" s="11" t="s">
        <v>24</v>
      </c>
      <c r="E30" s="11" t="s">
        <v>97</v>
      </c>
      <c r="F30" s="6" t="s">
        <v>465</v>
      </c>
      <c r="G30" s="33" t="s">
        <v>18</v>
      </c>
      <c r="H30" s="33" t="s">
        <v>44</v>
      </c>
      <c r="I30" s="5"/>
      <c r="J30" s="8"/>
      <c r="K30" s="8"/>
      <c r="L30" s="6"/>
    </row>
    <row r="31" spans="2:12" s="10" customFormat="1" ht="35" customHeight="1" x14ac:dyDescent="0.35">
      <c r="B31" s="315"/>
      <c r="C31" s="19">
        <v>2</v>
      </c>
      <c r="D31" s="11" t="s">
        <v>52</v>
      </c>
      <c r="E31" s="11" t="s">
        <v>50</v>
      </c>
      <c r="F31" s="6" t="s">
        <v>466</v>
      </c>
      <c r="G31" s="5"/>
      <c r="H31" s="33"/>
      <c r="I31" s="5"/>
      <c r="J31" s="8"/>
      <c r="K31" s="8"/>
      <c r="L31" s="9"/>
    </row>
    <row r="32" spans="2:12" s="10" customFormat="1" ht="35" customHeight="1" x14ac:dyDescent="0.35">
      <c r="B32" s="315"/>
      <c r="C32" s="19">
        <v>3</v>
      </c>
      <c r="D32" s="42" t="s">
        <v>52</v>
      </c>
      <c r="E32" s="93" t="s">
        <v>92</v>
      </c>
      <c r="F32" s="40" t="s">
        <v>467</v>
      </c>
      <c r="G32" s="39"/>
      <c r="H32" s="33"/>
      <c r="I32" s="5"/>
      <c r="J32" s="8"/>
      <c r="K32" s="8"/>
      <c r="L32" s="45"/>
    </row>
    <row r="33" spans="2:12" s="10" customFormat="1" ht="58" x14ac:dyDescent="0.35">
      <c r="B33" s="315"/>
      <c r="C33" s="19">
        <v>4</v>
      </c>
      <c r="D33" s="39" t="s">
        <v>52</v>
      </c>
      <c r="E33" s="42" t="s">
        <v>37</v>
      </c>
      <c r="F33" s="40" t="s">
        <v>468</v>
      </c>
      <c r="G33" s="39"/>
      <c r="H33" s="33"/>
      <c r="I33" s="5"/>
      <c r="J33" s="8"/>
      <c r="K33" s="8"/>
      <c r="L33" s="45"/>
    </row>
    <row r="34" spans="2:12" s="10" customFormat="1" ht="30" customHeight="1" x14ac:dyDescent="0.35">
      <c r="B34" s="315"/>
      <c r="C34" s="38">
        <v>5</v>
      </c>
      <c r="D34" s="39" t="s">
        <v>52</v>
      </c>
      <c r="E34" s="42" t="s">
        <v>65</v>
      </c>
      <c r="F34" s="40" t="s">
        <v>469</v>
      </c>
      <c r="G34" s="39"/>
      <c r="H34" s="33"/>
      <c r="I34" s="5"/>
      <c r="J34" s="8"/>
      <c r="K34" s="8"/>
      <c r="L34" s="45"/>
    </row>
    <row r="35" spans="2:12" s="10" customFormat="1" ht="43.5" x14ac:dyDescent="0.35">
      <c r="B35" s="315"/>
      <c r="C35" s="38">
        <v>6</v>
      </c>
      <c r="D35" s="39" t="s">
        <v>52</v>
      </c>
      <c r="E35" s="42" t="s">
        <v>37</v>
      </c>
      <c r="F35" s="40" t="s">
        <v>470</v>
      </c>
      <c r="G35" s="39" t="s">
        <v>18</v>
      </c>
      <c r="H35" s="33" t="s">
        <v>93</v>
      </c>
      <c r="I35" s="5"/>
      <c r="J35" s="8"/>
      <c r="K35" s="8"/>
      <c r="L35" s="45"/>
    </row>
    <row r="36" spans="2:12" s="10" customFormat="1" ht="38" customHeight="1" x14ac:dyDescent="0.35">
      <c r="B36" s="314">
        <v>45454</v>
      </c>
      <c r="C36" s="38">
        <v>1</v>
      </c>
      <c r="D36" s="42" t="s">
        <v>52</v>
      </c>
      <c r="E36" s="93" t="s">
        <v>92</v>
      </c>
      <c r="F36" s="40" t="s">
        <v>458</v>
      </c>
      <c r="G36" s="41"/>
      <c r="H36" s="41"/>
      <c r="I36" s="47"/>
      <c r="J36" s="8"/>
      <c r="K36" s="21"/>
      <c r="L36" s="75"/>
    </row>
    <row r="37" spans="2:12" s="10" customFormat="1" ht="34" customHeight="1" x14ac:dyDescent="0.35">
      <c r="B37" s="315"/>
      <c r="C37" s="38">
        <v>2</v>
      </c>
      <c r="D37" s="42" t="s">
        <v>52</v>
      </c>
      <c r="E37" s="39" t="s">
        <v>65</v>
      </c>
      <c r="F37" s="40" t="s">
        <v>459</v>
      </c>
      <c r="G37" s="41"/>
      <c r="H37" s="41"/>
      <c r="I37" s="7"/>
      <c r="J37" s="44"/>
      <c r="K37" s="44"/>
      <c r="L37" s="45"/>
    </row>
    <row r="38" spans="2:12" s="10" customFormat="1" ht="34" customHeight="1" x14ac:dyDescent="0.35">
      <c r="B38" s="315"/>
      <c r="C38" s="38">
        <v>3</v>
      </c>
      <c r="D38" s="39" t="s">
        <v>24</v>
      </c>
      <c r="E38" s="39" t="s">
        <v>123</v>
      </c>
      <c r="F38" s="40" t="s">
        <v>457</v>
      </c>
      <c r="G38" s="41"/>
      <c r="H38" s="41"/>
      <c r="I38" s="7"/>
      <c r="J38" s="44"/>
      <c r="K38" s="44"/>
      <c r="L38" s="45"/>
    </row>
    <row r="39" spans="2:12" s="10" customFormat="1" ht="43.5" x14ac:dyDescent="0.35">
      <c r="B39" s="315"/>
      <c r="C39" s="38">
        <v>4</v>
      </c>
      <c r="D39" s="39" t="s">
        <v>24</v>
      </c>
      <c r="E39" s="39" t="s">
        <v>78</v>
      </c>
      <c r="F39" s="40" t="s">
        <v>460</v>
      </c>
      <c r="G39" s="41" t="s">
        <v>18</v>
      </c>
      <c r="H39" s="41" t="s">
        <v>41</v>
      </c>
      <c r="I39" s="7"/>
      <c r="J39" s="44"/>
      <c r="K39" s="44"/>
      <c r="L39" s="45"/>
    </row>
    <row r="40" spans="2:12" s="10" customFormat="1" ht="34" customHeight="1" x14ac:dyDescent="0.35">
      <c r="B40" s="315"/>
      <c r="C40" s="38">
        <v>5</v>
      </c>
      <c r="D40" s="39" t="s">
        <v>89</v>
      </c>
      <c r="E40" s="39" t="s">
        <v>148</v>
      </c>
      <c r="F40" s="40" t="s">
        <v>461</v>
      </c>
      <c r="G40" s="41"/>
      <c r="H40" s="41"/>
      <c r="I40" s="7"/>
      <c r="J40" s="44"/>
      <c r="K40" s="44"/>
      <c r="L40" s="45"/>
    </row>
    <row r="41" spans="2:12" s="10" customFormat="1" ht="58" x14ac:dyDescent="0.35">
      <c r="B41" s="315"/>
      <c r="C41" s="38">
        <v>6</v>
      </c>
      <c r="D41" s="39" t="s">
        <v>52</v>
      </c>
      <c r="E41" s="39" t="s">
        <v>48</v>
      </c>
      <c r="F41" s="40" t="s">
        <v>462</v>
      </c>
      <c r="G41" s="41" t="s">
        <v>18</v>
      </c>
      <c r="H41" s="41" t="s">
        <v>138</v>
      </c>
      <c r="I41" s="7"/>
      <c r="J41" s="44"/>
      <c r="K41" s="44"/>
      <c r="L41" s="45"/>
    </row>
    <row r="42" spans="2:12" s="10" customFormat="1" ht="43.5" x14ac:dyDescent="0.35">
      <c r="B42" s="315"/>
      <c r="C42" s="38">
        <v>7</v>
      </c>
      <c r="D42" s="39" t="s">
        <v>52</v>
      </c>
      <c r="E42" s="39" t="s">
        <v>48</v>
      </c>
      <c r="F42" s="40" t="s">
        <v>463</v>
      </c>
      <c r="G42" s="41"/>
      <c r="H42" s="41"/>
      <c r="I42" s="7"/>
      <c r="J42" s="44"/>
      <c r="K42" s="44"/>
      <c r="L42" s="45"/>
    </row>
    <row r="43" spans="2:12" s="10" customFormat="1" ht="48" customHeight="1" x14ac:dyDescent="0.35">
      <c r="B43" s="316"/>
      <c r="C43" s="38">
        <v>8</v>
      </c>
      <c r="D43" s="5" t="s">
        <v>52</v>
      </c>
      <c r="E43" s="93" t="s">
        <v>83</v>
      </c>
      <c r="F43" s="76" t="s">
        <v>464</v>
      </c>
      <c r="G43" s="41"/>
      <c r="H43" s="41"/>
      <c r="I43" s="7"/>
      <c r="J43" s="44"/>
      <c r="K43" s="44"/>
      <c r="L43" s="76"/>
    </row>
    <row r="44" spans="2:12" s="10" customFormat="1" ht="45" customHeight="1" x14ac:dyDescent="0.35">
      <c r="B44" s="80">
        <v>45455</v>
      </c>
      <c r="C44" s="38">
        <v>1</v>
      </c>
      <c r="D44" s="39" t="s">
        <v>89</v>
      </c>
      <c r="E44" s="93" t="s">
        <v>8</v>
      </c>
      <c r="F44" s="207" t="s">
        <v>451</v>
      </c>
      <c r="G44" s="41" t="s">
        <v>11</v>
      </c>
      <c r="H44" s="41" t="s">
        <v>55</v>
      </c>
      <c r="I44" s="7"/>
      <c r="J44" s="44"/>
      <c r="K44" s="44"/>
      <c r="L44" s="76"/>
    </row>
    <row r="45" spans="2:12" s="10" customFormat="1" ht="34" customHeight="1" x14ac:dyDescent="0.35">
      <c r="B45" s="80"/>
      <c r="C45" s="38">
        <v>2</v>
      </c>
      <c r="D45" s="39" t="s">
        <v>52</v>
      </c>
      <c r="E45" s="93" t="s">
        <v>50</v>
      </c>
      <c r="F45" s="76" t="s">
        <v>452</v>
      </c>
      <c r="G45" s="41" t="s">
        <v>192</v>
      </c>
      <c r="H45" s="41"/>
      <c r="I45" s="7"/>
      <c r="J45" s="44"/>
      <c r="K45" s="44"/>
      <c r="L45" s="76"/>
    </row>
    <row r="46" spans="2:12" s="10" customFormat="1" ht="34" customHeight="1" x14ac:dyDescent="0.35">
      <c r="B46" s="80"/>
      <c r="C46" s="38">
        <v>4</v>
      </c>
      <c r="D46" s="39" t="s">
        <v>47</v>
      </c>
      <c r="E46" s="93" t="s">
        <v>50</v>
      </c>
      <c r="F46" s="76" t="s">
        <v>453</v>
      </c>
      <c r="G46" s="41"/>
      <c r="H46" s="41"/>
      <c r="I46" s="7"/>
      <c r="J46" s="44"/>
      <c r="K46" s="44"/>
      <c r="L46" s="76"/>
    </row>
    <row r="47" spans="2:12" s="10" customFormat="1" ht="34" customHeight="1" x14ac:dyDescent="0.35">
      <c r="B47" s="80"/>
      <c r="C47" s="38">
        <v>5</v>
      </c>
      <c r="D47" s="39" t="s">
        <v>52</v>
      </c>
      <c r="E47" s="93" t="s">
        <v>277</v>
      </c>
      <c r="F47" s="76" t="s">
        <v>454</v>
      </c>
      <c r="G47" s="41" t="s">
        <v>18</v>
      </c>
      <c r="H47" s="41" t="s">
        <v>112</v>
      </c>
      <c r="I47" s="7"/>
      <c r="J47" s="44"/>
      <c r="K47" s="44"/>
      <c r="L47" s="76"/>
    </row>
    <row r="48" spans="2:12" s="10" customFormat="1" ht="34" customHeight="1" x14ac:dyDescent="0.35">
      <c r="B48" s="80"/>
      <c r="C48" s="38">
        <v>6</v>
      </c>
      <c r="D48" s="39" t="s">
        <v>52</v>
      </c>
      <c r="E48" s="93" t="s">
        <v>92</v>
      </c>
      <c r="F48" s="76" t="s">
        <v>455</v>
      </c>
      <c r="G48" s="41" t="s">
        <v>43</v>
      </c>
      <c r="H48" s="41" t="s">
        <v>313</v>
      </c>
      <c r="I48" s="7"/>
      <c r="J48" s="44"/>
      <c r="K48" s="44"/>
      <c r="L48" s="76"/>
    </row>
    <row r="49" spans="2:12" s="10" customFormat="1" ht="33.5" customHeight="1" x14ac:dyDescent="0.35">
      <c r="B49" s="65"/>
      <c r="C49" s="38">
        <v>7</v>
      </c>
      <c r="D49" s="39" t="s">
        <v>89</v>
      </c>
      <c r="E49" s="41" t="s">
        <v>76</v>
      </c>
      <c r="F49" s="76" t="s">
        <v>456</v>
      </c>
      <c r="G49" s="41" t="s">
        <v>18</v>
      </c>
      <c r="H49" s="52" t="s">
        <v>111</v>
      </c>
      <c r="I49" s="47"/>
      <c r="J49" s="96"/>
      <c r="K49" s="44"/>
      <c r="L49" s="76"/>
    </row>
    <row r="50" spans="2:12" s="10" customFormat="1" ht="43.5" x14ac:dyDescent="0.35">
      <c r="B50" s="80">
        <v>45456</v>
      </c>
      <c r="C50" s="38">
        <v>1</v>
      </c>
      <c r="D50" s="39" t="s">
        <v>89</v>
      </c>
      <c r="E50" s="93" t="s">
        <v>148</v>
      </c>
      <c r="F50" s="40" t="s">
        <v>501</v>
      </c>
      <c r="G50" s="41"/>
      <c r="H50" s="41"/>
      <c r="I50" s="7"/>
      <c r="J50" s="44"/>
      <c r="K50" s="44"/>
      <c r="L50" s="76"/>
    </row>
    <row r="51" spans="2:12" s="10" customFormat="1" ht="43.5" x14ac:dyDescent="0.35">
      <c r="B51" s="26"/>
      <c r="C51" s="38">
        <v>2</v>
      </c>
      <c r="D51" s="39" t="s">
        <v>89</v>
      </c>
      <c r="E51" s="41" t="s">
        <v>14</v>
      </c>
      <c r="F51" s="76" t="s">
        <v>502</v>
      </c>
      <c r="G51" s="41" t="s">
        <v>43</v>
      </c>
      <c r="H51" s="52" t="s">
        <v>503</v>
      </c>
      <c r="I51" s="47"/>
      <c r="J51" s="96"/>
      <c r="K51" s="44"/>
      <c r="L51" s="76"/>
    </row>
    <row r="52" spans="2:12" s="10" customFormat="1" ht="29" x14ac:dyDescent="0.35">
      <c r="B52" s="26"/>
      <c r="C52" s="38">
        <v>3</v>
      </c>
      <c r="D52" s="39" t="s">
        <v>52</v>
      </c>
      <c r="E52" s="41" t="s">
        <v>60</v>
      </c>
      <c r="F52" s="76" t="s">
        <v>504</v>
      </c>
      <c r="G52" s="41"/>
      <c r="H52" s="52"/>
      <c r="I52" s="47"/>
      <c r="J52" s="96"/>
      <c r="K52" s="44"/>
      <c r="L52" s="76"/>
    </row>
    <row r="53" spans="2:12" s="10" customFormat="1" ht="43.5" x14ac:dyDescent="0.35">
      <c r="B53" s="26"/>
      <c r="C53" s="38">
        <v>4</v>
      </c>
      <c r="D53" s="39" t="s">
        <v>52</v>
      </c>
      <c r="E53" s="41" t="s">
        <v>278</v>
      </c>
      <c r="F53" s="76" t="s">
        <v>505</v>
      </c>
      <c r="G53" s="41"/>
      <c r="H53" s="52"/>
      <c r="I53" s="47"/>
      <c r="J53" s="96"/>
      <c r="K53" s="44"/>
      <c r="L53" s="76"/>
    </row>
    <row r="54" spans="2:12" s="10" customFormat="1" ht="43.5" x14ac:dyDescent="0.35">
      <c r="B54" s="65"/>
      <c r="C54" s="38">
        <v>5</v>
      </c>
      <c r="D54" s="39" t="s">
        <v>89</v>
      </c>
      <c r="E54" s="41" t="s">
        <v>97</v>
      </c>
      <c r="F54" s="76" t="s">
        <v>506</v>
      </c>
      <c r="G54" s="41"/>
      <c r="H54" s="52"/>
      <c r="I54" s="47"/>
      <c r="J54" s="96"/>
      <c r="K54" s="44"/>
      <c r="L54" s="76"/>
    </row>
    <row r="55" spans="2:12" s="10" customFormat="1" ht="36" customHeight="1" x14ac:dyDescent="0.35">
      <c r="B55" s="80">
        <v>45457</v>
      </c>
      <c r="C55" s="38">
        <v>1</v>
      </c>
      <c r="D55" s="39" t="s">
        <v>24</v>
      </c>
      <c r="E55" s="41" t="s">
        <v>97</v>
      </c>
      <c r="F55" s="76" t="s">
        <v>507</v>
      </c>
      <c r="G55" s="41"/>
      <c r="H55" s="52"/>
      <c r="I55" s="47"/>
      <c r="J55" s="96"/>
      <c r="K55" s="44"/>
      <c r="L55" s="76"/>
    </row>
    <row r="56" spans="2:12" s="10" customFormat="1" ht="36" customHeight="1" x14ac:dyDescent="0.35">
      <c r="B56" s="26"/>
      <c r="C56" s="38">
        <v>2</v>
      </c>
      <c r="D56" s="39" t="s">
        <v>89</v>
      </c>
      <c r="E56" s="41" t="s">
        <v>128</v>
      </c>
      <c r="F56" s="76" t="s">
        <v>508</v>
      </c>
      <c r="G56" s="41"/>
      <c r="H56" s="52"/>
      <c r="I56" s="47"/>
      <c r="J56" s="96"/>
      <c r="K56" s="44"/>
      <c r="L56" s="76"/>
    </row>
    <row r="57" spans="2:12" s="10" customFormat="1" ht="29" x14ac:dyDescent="0.35">
      <c r="B57" s="26"/>
      <c r="C57" s="38">
        <v>3</v>
      </c>
      <c r="D57" s="39" t="s">
        <v>47</v>
      </c>
      <c r="E57" s="41" t="s">
        <v>509</v>
      </c>
      <c r="F57" s="76" t="s">
        <v>510</v>
      </c>
      <c r="G57" s="41" t="s">
        <v>110</v>
      </c>
      <c r="H57" s="52"/>
      <c r="I57" s="47"/>
      <c r="J57" s="96"/>
      <c r="K57" s="44"/>
      <c r="L57" s="76"/>
    </row>
    <row r="58" spans="2:12" s="3" customFormat="1" ht="21.5" customHeight="1" x14ac:dyDescent="0.35">
      <c r="B58" s="288" t="s">
        <v>63</v>
      </c>
      <c r="C58" s="288"/>
      <c r="D58" s="288"/>
      <c r="E58" s="288"/>
      <c r="F58" s="288"/>
      <c r="G58" s="288"/>
      <c r="H58" s="288"/>
      <c r="I58" s="288"/>
      <c r="J58" s="288"/>
      <c r="K58" s="288"/>
      <c r="L58" s="290"/>
    </row>
    <row r="59" spans="2:12" s="10" customFormat="1" ht="38" customHeight="1" x14ac:dyDescent="0.35">
      <c r="B59" s="197">
        <v>45460</v>
      </c>
      <c r="C59" s="208"/>
      <c r="D59" s="209"/>
      <c r="E59" s="209"/>
      <c r="F59" s="210" t="s">
        <v>481</v>
      </c>
      <c r="G59" s="33"/>
      <c r="H59" s="33"/>
      <c r="I59" s="5"/>
      <c r="J59" s="8"/>
      <c r="K59" s="8"/>
      <c r="L59" s="9"/>
    </row>
    <row r="60" spans="2:12" s="10" customFormat="1" ht="38" customHeight="1" x14ac:dyDescent="0.35">
      <c r="B60" s="197">
        <v>45461</v>
      </c>
      <c r="C60" s="211"/>
      <c r="D60" s="212"/>
      <c r="E60" s="212"/>
      <c r="F60" s="204" t="s">
        <v>482</v>
      </c>
      <c r="G60" s="33"/>
      <c r="H60" s="41"/>
      <c r="I60" s="5"/>
      <c r="J60" s="44"/>
      <c r="K60" s="44"/>
      <c r="L60" s="45"/>
    </row>
    <row r="61" spans="2:12" s="10" customFormat="1" ht="46.5" customHeight="1" x14ac:dyDescent="0.35">
      <c r="B61" s="213">
        <v>45462</v>
      </c>
      <c r="C61" s="211"/>
      <c r="D61" s="42" t="s">
        <v>483</v>
      </c>
      <c r="E61" s="214" t="s">
        <v>424</v>
      </c>
      <c r="F61" s="215" t="s">
        <v>484</v>
      </c>
      <c r="G61" s="33"/>
      <c r="H61" s="41"/>
      <c r="I61" s="5"/>
      <c r="J61" s="44"/>
      <c r="K61" s="44"/>
      <c r="L61" s="45"/>
    </row>
    <row r="62" spans="2:12" s="10" customFormat="1" ht="45.5" customHeight="1" x14ac:dyDescent="0.35">
      <c r="B62" s="213">
        <v>45463</v>
      </c>
      <c r="C62" s="38"/>
      <c r="D62" s="42" t="s">
        <v>483</v>
      </c>
      <c r="E62" s="42" t="s">
        <v>424</v>
      </c>
      <c r="F62" s="215" t="s">
        <v>484</v>
      </c>
      <c r="G62" s="33"/>
      <c r="H62" s="41"/>
      <c r="I62" s="47"/>
      <c r="J62" s="44"/>
      <c r="K62" s="44"/>
      <c r="L62" s="45"/>
    </row>
    <row r="63" spans="2:12" s="10" customFormat="1" ht="51" customHeight="1" x14ac:dyDescent="0.35">
      <c r="B63" s="213">
        <v>45464</v>
      </c>
      <c r="C63" s="19"/>
      <c r="D63" s="42" t="s">
        <v>483</v>
      </c>
      <c r="E63" s="11" t="s">
        <v>424</v>
      </c>
      <c r="F63" s="215" t="s">
        <v>484</v>
      </c>
      <c r="G63" s="33"/>
      <c r="H63" s="33"/>
      <c r="I63" s="5"/>
      <c r="J63" s="8"/>
      <c r="K63" s="8"/>
      <c r="L63" s="9"/>
    </row>
    <row r="64" spans="2:12" s="10" customFormat="1" ht="28" customHeight="1" x14ac:dyDescent="0.35">
      <c r="B64" s="288" t="s">
        <v>53</v>
      </c>
      <c r="C64" s="288"/>
      <c r="D64" s="288"/>
      <c r="E64" s="288"/>
      <c r="F64" s="288"/>
      <c r="G64" s="288"/>
      <c r="H64" s="288"/>
      <c r="I64" s="288"/>
      <c r="J64" s="288"/>
      <c r="K64" s="288"/>
      <c r="L64" s="290"/>
    </row>
    <row r="65" spans="2:12" s="10" customFormat="1" ht="49.5" customHeight="1" x14ac:dyDescent="0.35">
      <c r="B65" s="314">
        <v>45467</v>
      </c>
      <c r="C65" s="19">
        <v>1</v>
      </c>
      <c r="D65" s="11" t="s">
        <v>52</v>
      </c>
      <c r="E65" s="11" t="s">
        <v>50</v>
      </c>
      <c r="F65" s="6" t="s">
        <v>511</v>
      </c>
      <c r="G65" s="33" t="s">
        <v>512</v>
      </c>
      <c r="H65" s="33"/>
      <c r="I65" s="5"/>
      <c r="J65" s="8"/>
      <c r="K65" s="8"/>
      <c r="L65" s="124"/>
    </row>
    <row r="66" spans="2:12" s="10" customFormat="1" ht="43.5" x14ac:dyDescent="0.35">
      <c r="B66" s="315"/>
      <c r="C66" s="20">
        <v>2</v>
      </c>
      <c r="D66" s="86" t="s">
        <v>24</v>
      </c>
      <c r="E66" s="11" t="s">
        <v>97</v>
      </c>
      <c r="F66" s="15" t="s">
        <v>513</v>
      </c>
      <c r="G66" s="33"/>
      <c r="H66" s="33"/>
      <c r="I66" s="5"/>
      <c r="J66" s="16"/>
      <c r="K66" s="16"/>
      <c r="L66" s="87"/>
    </row>
    <row r="67" spans="2:12" s="10" customFormat="1" ht="48" customHeight="1" x14ac:dyDescent="0.35">
      <c r="B67" s="315"/>
      <c r="C67" s="20">
        <v>3</v>
      </c>
      <c r="D67" s="86" t="s">
        <v>52</v>
      </c>
      <c r="E67" s="11" t="s">
        <v>8</v>
      </c>
      <c r="F67" s="15" t="s">
        <v>517</v>
      </c>
      <c r="G67" s="33"/>
      <c r="H67" s="33"/>
      <c r="I67" s="5"/>
      <c r="J67" s="16"/>
      <c r="K67" s="16"/>
      <c r="L67" s="87"/>
    </row>
    <row r="68" spans="2:12" s="10" customFormat="1" ht="33.5" customHeight="1" x14ac:dyDescent="0.35">
      <c r="B68" s="315"/>
      <c r="C68" s="20">
        <v>4</v>
      </c>
      <c r="D68" s="86"/>
      <c r="E68" s="11"/>
      <c r="F68" s="15"/>
      <c r="G68" s="33"/>
      <c r="H68" s="33"/>
      <c r="I68" s="23"/>
      <c r="J68" s="16"/>
      <c r="K68" s="16"/>
      <c r="L68" s="123"/>
    </row>
    <row r="69" spans="2:12" s="10" customFormat="1" ht="32" customHeight="1" x14ac:dyDescent="0.35">
      <c r="B69" s="315"/>
      <c r="C69" s="19"/>
      <c r="D69" s="11"/>
      <c r="E69" s="95"/>
      <c r="F69" s="6"/>
      <c r="G69" s="33"/>
      <c r="H69" s="33"/>
      <c r="I69" s="5"/>
      <c r="J69" s="8"/>
      <c r="K69" s="8"/>
      <c r="L69" s="9"/>
    </row>
    <row r="70" spans="2:12" s="10" customFormat="1" x14ac:dyDescent="0.35">
      <c r="B70" s="315"/>
      <c r="C70" s="19"/>
      <c r="D70" s="42"/>
      <c r="E70" s="93"/>
      <c r="F70" s="40"/>
      <c r="G70" s="41"/>
      <c r="H70" s="33"/>
      <c r="I70" s="47"/>
      <c r="J70" s="47"/>
      <c r="K70" s="8"/>
      <c r="L70" s="124"/>
    </row>
    <row r="71" spans="2:12" ht="43.5" x14ac:dyDescent="0.35">
      <c r="B71" s="314">
        <v>45468</v>
      </c>
      <c r="C71" s="20">
        <v>1</v>
      </c>
      <c r="D71" s="5" t="s">
        <v>52</v>
      </c>
      <c r="E71" s="33" t="s">
        <v>148</v>
      </c>
      <c r="F71" s="6" t="s">
        <v>514</v>
      </c>
      <c r="G71" s="41"/>
      <c r="H71" s="14"/>
      <c r="I71" s="55"/>
      <c r="J71" s="14"/>
      <c r="K71" s="14"/>
      <c r="L71" s="17"/>
    </row>
    <row r="72" spans="2:12" ht="43.5" x14ac:dyDescent="0.35">
      <c r="B72" s="315"/>
      <c r="C72" s="20">
        <v>2</v>
      </c>
      <c r="D72" s="14" t="s">
        <v>52</v>
      </c>
      <c r="E72" s="93" t="s">
        <v>515</v>
      </c>
      <c r="F72" s="15" t="s">
        <v>516</v>
      </c>
      <c r="G72" s="41"/>
      <c r="H72" s="33"/>
      <c r="I72" s="23"/>
      <c r="J72" s="14"/>
      <c r="K72" s="14"/>
      <c r="L72" s="15"/>
    </row>
    <row r="73" spans="2:12" ht="32" customHeight="1" x14ac:dyDescent="0.35">
      <c r="B73" s="315"/>
      <c r="C73" s="19">
        <v>3</v>
      </c>
      <c r="D73" s="86" t="s">
        <v>89</v>
      </c>
      <c r="E73" s="11" t="s">
        <v>33</v>
      </c>
      <c r="F73" s="15" t="s">
        <v>518</v>
      </c>
      <c r="G73" s="41"/>
      <c r="H73" s="5"/>
      <c r="I73" s="23"/>
      <c r="J73" s="14"/>
      <c r="K73" s="14"/>
      <c r="L73" s="17"/>
    </row>
    <row r="74" spans="2:12" ht="43.5" x14ac:dyDescent="0.35">
      <c r="B74" s="316"/>
      <c r="C74" s="19">
        <v>4</v>
      </c>
      <c r="D74" s="86" t="s">
        <v>52</v>
      </c>
      <c r="E74" s="11" t="s">
        <v>65</v>
      </c>
      <c r="F74" s="15" t="s">
        <v>521</v>
      </c>
      <c r="G74" s="41"/>
      <c r="H74" s="5"/>
      <c r="I74" s="23"/>
      <c r="J74" s="14"/>
      <c r="K74" s="14"/>
      <c r="L74" s="31"/>
    </row>
    <row r="75" spans="2:12" ht="36.5" customHeight="1" x14ac:dyDescent="0.35">
      <c r="B75" s="314">
        <v>45469</v>
      </c>
      <c r="C75" s="19">
        <v>1</v>
      </c>
      <c r="D75" s="5" t="s">
        <v>47</v>
      </c>
      <c r="E75" s="5" t="s">
        <v>50</v>
      </c>
      <c r="F75" s="58" t="s">
        <v>519</v>
      </c>
      <c r="G75" s="41" t="s">
        <v>520</v>
      </c>
      <c r="H75" s="33"/>
      <c r="I75" s="126"/>
      <c r="J75" s="14"/>
      <c r="K75" s="14"/>
      <c r="L75" s="45"/>
    </row>
    <row r="76" spans="2:12" ht="58" x14ac:dyDescent="0.35">
      <c r="B76" s="315"/>
      <c r="C76" s="19">
        <v>2</v>
      </c>
      <c r="D76" s="5" t="s">
        <v>47</v>
      </c>
      <c r="E76" s="5" t="s">
        <v>8</v>
      </c>
      <c r="F76" s="6" t="s">
        <v>522</v>
      </c>
      <c r="G76" s="5" t="s">
        <v>11</v>
      </c>
      <c r="H76" s="5" t="s">
        <v>31</v>
      </c>
      <c r="I76" s="23"/>
      <c r="J76" s="126"/>
      <c r="K76" s="14"/>
      <c r="L76" s="9"/>
    </row>
    <row r="77" spans="2:12" ht="58" x14ac:dyDescent="0.35">
      <c r="B77" s="315"/>
      <c r="C77" s="20">
        <v>3</v>
      </c>
      <c r="D77" s="14" t="s">
        <v>24</v>
      </c>
      <c r="E77" s="14" t="s">
        <v>14</v>
      </c>
      <c r="F77" s="15" t="s">
        <v>523</v>
      </c>
      <c r="G77" s="5"/>
      <c r="H77" s="14"/>
      <c r="I77" s="23"/>
      <c r="J77" s="216"/>
      <c r="K77" s="14"/>
      <c r="L77" s="17"/>
    </row>
    <row r="78" spans="2:12" ht="31.5" customHeight="1" x14ac:dyDescent="0.35">
      <c r="B78" s="315"/>
      <c r="C78" s="20">
        <v>4</v>
      </c>
      <c r="D78" s="25" t="s">
        <v>525</v>
      </c>
      <c r="E78" s="14" t="s">
        <v>14</v>
      </c>
      <c r="F78" s="15" t="s">
        <v>524</v>
      </c>
      <c r="G78" s="5" t="s">
        <v>18</v>
      </c>
      <c r="H78" s="14" t="s">
        <v>61</v>
      </c>
      <c r="I78" s="23"/>
      <c r="J78" s="216"/>
      <c r="K78" s="14"/>
      <c r="L78" s="17"/>
    </row>
    <row r="79" spans="2:12" ht="31.5" customHeight="1" x14ac:dyDescent="0.35">
      <c r="B79" s="315"/>
      <c r="C79" s="20">
        <v>5</v>
      </c>
      <c r="D79" s="25" t="s">
        <v>52</v>
      </c>
      <c r="E79" s="14" t="s">
        <v>60</v>
      </c>
      <c r="F79" s="15" t="s">
        <v>526</v>
      </c>
      <c r="G79" s="5" t="s">
        <v>18</v>
      </c>
      <c r="H79" s="14" t="s">
        <v>62</v>
      </c>
      <c r="I79" s="23"/>
      <c r="J79" s="216"/>
      <c r="K79" s="14"/>
      <c r="L79" s="17"/>
    </row>
    <row r="80" spans="2:12" ht="33.5" customHeight="1" x14ac:dyDescent="0.35">
      <c r="B80" s="314">
        <v>45470</v>
      </c>
      <c r="C80" s="20">
        <v>1</v>
      </c>
      <c r="D80" s="14" t="s">
        <v>52</v>
      </c>
      <c r="E80" s="14" t="s">
        <v>8</v>
      </c>
      <c r="F80" s="15" t="s">
        <v>527</v>
      </c>
      <c r="G80" s="5" t="s">
        <v>11</v>
      </c>
      <c r="H80" s="14" t="s">
        <v>151</v>
      </c>
      <c r="I80" s="23"/>
      <c r="J80" s="14"/>
      <c r="K80" s="14"/>
      <c r="L80" s="15"/>
    </row>
    <row r="81" spans="2:12" ht="29" x14ac:dyDescent="0.35">
      <c r="B81" s="315"/>
      <c r="C81" s="20">
        <v>2</v>
      </c>
      <c r="D81" s="14" t="s">
        <v>52</v>
      </c>
      <c r="E81" s="14" t="s">
        <v>37</v>
      </c>
      <c r="F81" s="15" t="s">
        <v>680</v>
      </c>
      <c r="G81" s="5" t="s">
        <v>18</v>
      </c>
      <c r="H81" s="14" t="s">
        <v>75</v>
      </c>
      <c r="I81" s="23"/>
      <c r="J81" s="14"/>
      <c r="K81" s="14"/>
      <c r="L81" s="15"/>
    </row>
    <row r="82" spans="2:12" ht="43.5" x14ac:dyDescent="0.35">
      <c r="B82" s="316"/>
      <c r="C82" s="20">
        <v>3</v>
      </c>
      <c r="D82" s="14" t="s">
        <v>52</v>
      </c>
      <c r="E82" s="14" t="s">
        <v>681</v>
      </c>
      <c r="F82" s="15" t="s">
        <v>682</v>
      </c>
      <c r="G82" s="5" t="s">
        <v>18</v>
      </c>
      <c r="H82" s="14" t="s">
        <v>528</v>
      </c>
      <c r="I82" s="23"/>
      <c r="J82" s="14"/>
      <c r="K82" s="14"/>
      <c r="L82" s="15"/>
    </row>
    <row r="83" spans="2:12" ht="29" x14ac:dyDescent="0.35">
      <c r="B83" s="80">
        <v>45470</v>
      </c>
      <c r="C83" s="20">
        <v>1</v>
      </c>
      <c r="D83" s="14" t="s">
        <v>24</v>
      </c>
      <c r="E83" s="14" t="s">
        <v>57</v>
      </c>
      <c r="F83" s="15" t="s">
        <v>683</v>
      </c>
      <c r="G83" s="14" t="s">
        <v>39</v>
      </c>
      <c r="H83" s="14" t="s">
        <v>529</v>
      </c>
      <c r="I83" s="23"/>
      <c r="J83" s="14"/>
      <c r="K83" s="14"/>
      <c r="L83" s="17"/>
    </row>
    <row r="84" spans="2:12" ht="43.5" x14ac:dyDescent="0.35">
      <c r="B84" s="26"/>
      <c r="C84" s="20">
        <v>2</v>
      </c>
      <c r="D84" s="14" t="s">
        <v>52</v>
      </c>
      <c r="E84" s="14" t="s">
        <v>8</v>
      </c>
      <c r="F84" s="224" t="s">
        <v>685</v>
      </c>
      <c r="G84" s="14"/>
      <c r="H84" s="14"/>
      <c r="I84" s="23"/>
      <c r="J84" s="14"/>
      <c r="K84" s="14"/>
      <c r="L84" s="17"/>
    </row>
    <row r="85" spans="2:12" ht="43.5" x14ac:dyDescent="0.35">
      <c r="B85" s="26"/>
      <c r="C85" s="20">
        <v>3</v>
      </c>
      <c r="D85" s="14" t="s">
        <v>52</v>
      </c>
      <c r="E85" s="14" t="s">
        <v>76</v>
      </c>
      <c r="F85" s="15" t="s">
        <v>686</v>
      </c>
      <c r="G85" s="14"/>
      <c r="H85" s="14"/>
      <c r="I85" s="23"/>
      <c r="J85" s="14"/>
      <c r="K85" s="14"/>
      <c r="L85" s="17"/>
    </row>
    <row r="86" spans="2:12" ht="29" x14ac:dyDescent="0.35">
      <c r="B86" s="26"/>
      <c r="C86" s="20">
        <v>4</v>
      </c>
      <c r="D86" s="14" t="s">
        <v>52</v>
      </c>
      <c r="E86" s="14" t="s">
        <v>665</v>
      </c>
      <c r="F86" s="15" t="s">
        <v>687</v>
      </c>
      <c r="G86" s="14"/>
      <c r="H86" s="14"/>
      <c r="I86" s="23"/>
      <c r="J86" s="14"/>
      <c r="K86" s="14"/>
      <c r="L86" s="17"/>
    </row>
    <row r="87" spans="2:12" ht="72.5" x14ac:dyDescent="0.35">
      <c r="B87" s="26"/>
      <c r="C87" s="20">
        <v>5</v>
      </c>
      <c r="D87" s="14" t="s">
        <v>52</v>
      </c>
      <c r="E87" s="14" t="s">
        <v>8</v>
      </c>
      <c r="F87" s="15" t="s">
        <v>688</v>
      </c>
      <c r="G87" s="14"/>
      <c r="H87" s="14"/>
      <c r="I87" s="23"/>
      <c r="J87" s="14"/>
      <c r="K87" s="14"/>
      <c r="L87" s="17"/>
    </row>
    <row r="88" spans="2:12" ht="49.5" customHeight="1" x14ac:dyDescent="0.35">
      <c r="B88" s="65"/>
      <c r="C88" s="20">
        <v>6</v>
      </c>
      <c r="D88" s="14" t="s">
        <v>449</v>
      </c>
      <c r="E88" s="14" t="s">
        <v>48</v>
      </c>
      <c r="F88" s="15" t="s">
        <v>689</v>
      </c>
      <c r="G88" s="14"/>
      <c r="H88" s="14"/>
      <c r="I88" s="23"/>
      <c r="J88" s="14"/>
      <c r="K88" s="14"/>
      <c r="L88" s="17"/>
    </row>
    <row r="89" spans="2:12" ht="33.5" customHeight="1" x14ac:dyDescent="0.35">
      <c r="B89" s="122">
        <v>45471</v>
      </c>
      <c r="C89" s="20">
        <v>1</v>
      </c>
      <c r="D89" s="14" t="s">
        <v>24</v>
      </c>
      <c r="E89" s="14" t="s">
        <v>50</v>
      </c>
      <c r="F89" s="15" t="s">
        <v>690</v>
      </c>
      <c r="G89" s="14"/>
      <c r="H89" s="14"/>
      <c r="I89" s="23"/>
      <c r="J89" s="14"/>
      <c r="K89" s="14"/>
      <c r="L89" s="17"/>
    </row>
    <row r="90" spans="2:12" ht="37" customHeight="1" x14ac:dyDescent="0.35">
      <c r="C90">
        <v>2</v>
      </c>
      <c r="D90" s="2" t="s">
        <v>52</v>
      </c>
      <c r="E90" s="2" t="s">
        <v>691</v>
      </c>
      <c r="F90" s="2" t="s">
        <v>692</v>
      </c>
    </row>
    <row r="91" spans="2:12" x14ac:dyDescent="0.35">
      <c r="C91">
        <v>3</v>
      </c>
      <c r="D91" s="2" t="s">
        <v>52</v>
      </c>
      <c r="E91" s="2" t="s">
        <v>48</v>
      </c>
      <c r="F91" s="2" t="s">
        <v>695</v>
      </c>
    </row>
    <row r="92" spans="2:12" x14ac:dyDescent="0.35">
      <c r="C92">
        <v>4</v>
      </c>
      <c r="D92" s="2" t="s">
        <v>52</v>
      </c>
      <c r="E92" s="2" t="s">
        <v>60</v>
      </c>
      <c r="F92" s="2" t="s">
        <v>693</v>
      </c>
    </row>
    <row r="93" spans="2:12" ht="35.5" customHeight="1" x14ac:dyDescent="0.35">
      <c r="C93">
        <v>5</v>
      </c>
      <c r="D93" s="2" t="s">
        <v>52</v>
      </c>
      <c r="E93" s="2" t="s">
        <v>60</v>
      </c>
      <c r="F93" s="2" t="s">
        <v>694</v>
      </c>
    </row>
    <row r="94" spans="2:12" ht="56.5" customHeight="1" x14ac:dyDescent="0.35">
      <c r="C94">
        <v>6</v>
      </c>
      <c r="D94" s="2" t="s">
        <v>52</v>
      </c>
      <c r="E94" s="2" t="s">
        <v>48</v>
      </c>
      <c r="F94" s="2" t="s">
        <v>696</v>
      </c>
    </row>
    <row r="95" spans="2:12" ht="110.5" customHeight="1" x14ac:dyDescent="0.35">
      <c r="B95" s="220">
        <v>45533</v>
      </c>
      <c r="C95">
        <v>1</v>
      </c>
      <c r="D95" s="2" t="s">
        <v>52</v>
      </c>
      <c r="E95" s="2" t="s">
        <v>82</v>
      </c>
      <c r="F95" s="229" t="s">
        <v>698</v>
      </c>
    </row>
    <row r="96" spans="2:12" ht="78" customHeight="1" x14ac:dyDescent="0.35">
      <c r="B96" s="231">
        <v>45534</v>
      </c>
      <c r="C96">
        <v>1</v>
      </c>
      <c r="D96" s="2" t="s">
        <v>52</v>
      </c>
      <c r="E96" s="2" t="s">
        <v>82</v>
      </c>
      <c r="F96" s="229" t="s">
        <v>697</v>
      </c>
    </row>
    <row r="97" spans="2:12" s="10" customFormat="1" ht="29" x14ac:dyDescent="0.35">
      <c r="B97" s="233">
        <v>45535</v>
      </c>
      <c r="C97" s="5">
        <v>1</v>
      </c>
      <c r="D97" s="5" t="s">
        <v>24</v>
      </c>
      <c r="E97" s="5" t="s">
        <v>8</v>
      </c>
      <c r="F97" s="6" t="s">
        <v>699</v>
      </c>
      <c r="G97" s="5"/>
      <c r="H97" s="5"/>
      <c r="I97" s="5"/>
      <c r="J97" s="24"/>
      <c r="K97" s="24"/>
      <c r="L97" s="5"/>
    </row>
    <row r="98" spans="2:12" s="10" customFormat="1" ht="72.5" x14ac:dyDescent="0.35">
      <c r="B98" s="233"/>
      <c r="C98" s="5">
        <v>2</v>
      </c>
      <c r="D98" s="5" t="s">
        <v>24</v>
      </c>
      <c r="E98" s="5" t="s">
        <v>8</v>
      </c>
      <c r="F98" s="6" t="s">
        <v>700</v>
      </c>
      <c r="G98" s="5"/>
      <c r="H98" s="5"/>
      <c r="I98" s="5"/>
      <c r="J98" s="24"/>
      <c r="K98" s="24"/>
      <c r="L98" s="5"/>
    </row>
    <row r="99" spans="2:12" s="10" customFormat="1" x14ac:dyDescent="0.35">
      <c r="B99" s="233"/>
      <c r="C99" s="5"/>
      <c r="D99" s="5"/>
      <c r="E99" s="5"/>
      <c r="F99" s="5"/>
      <c r="G99" s="5"/>
      <c r="H99" s="5"/>
      <c r="I99" s="5"/>
      <c r="J99" s="24"/>
      <c r="K99" s="24"/>
      <c r="L99" s="5"/>
    </row>
    <row r="100" spans="2:12" x14ac:dyDescent="0.35">
      <c r="B100" s="220"/>
    </row>
    <row r="101" spans="2:12" x14ac:dyDescent="0.35">
      <c r="B101" s="220"/>
    </row>
  </sheetData>
  <autoFilter ref="B5:L14" xr:uid="{45EB877C-985D-4089-9F3E-7E2C74FC1D8B}">
    <filterColumn colId="7" showButton="0"/>
    <filterColumn colId="8" showButton="0"/>
  </autoFilter>
  <mergeCells count="24">
    <mergeCell ref="B71:B74"/>
    <mergeCell ref="B65:B70"/>
    <mergeCell ref="B36:B43"/>
    <mergeCell ref="B8:B13"/>
    <mergeCell ref="B17:B21"/>
    <mergeCell ref="B14:B16"/>
    <mergeCell ref="B22:B25"/>
    <mergeCell ref="B26:B28"/>
    <mergeCell ref="B75:B79"/>
    <mergeCell ref="B64:L64"/>
    <mergeCell ref="B80:B82"/>
    <mergeCell ref="H5:H6"/>
    <mergeCell ref="I5:K5"/>
    <mergeCell ref="L5:L6"/>
    <mergeCell ref="B7:L7"/>
    <mergeCell ref="B58:L58"/>
    <mergeCell ref="B5:B6"/>
    <mergeCell ref="C5:C6"/>
    <mergeCell ref="D5:D6"/>
    <mergeCell ref="E5:E6"/>
    <mergeCell ref="F5:F6"/>
    <mergeCell ref="G5:G6"/>
    <mergeCell ref="B29:L29"/>
    <mergeCell ref="B30:B3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DA5F-C2E6-4D0A-903D-1131CA248BB3}">
  <sheetPr>
    <tabColor rgb="FFE7BFE7"/>
  </sheetPr>
  <dimension ref="B1:L101"/>
  <sheetViews>
    <sheetView showGridLines="0" zoomScale="85" zoomScaleNormal="85" workbookViewId="0">
      <pane xSplit="5" ySplit="7" topLeftCell="F79" activePane="bottomRight" state="frozen"/>
      <selection activeCell="E98" sqref="E98"/>
      <selection pane="topRight" activeCell="E98" sqref="E98"/>
      <selection pane="bottomLeft" activeCell="E98" sqref="E98"/>
      <selection pane="bottomRight" activeCell="B77" sqref="B77:B79"/>
    </sheetView>
  </sheetViews>
  <sheetFormatPr defaultRowHeight="14.5" x14ac:dyDescent="0.35"/>
  <cols>
    <col min="1" max="1" width="4.90625" customWidth="1"/>
    <col min="2" max="2" width="29.6328125" style="2" bestFit="1" customWidth="1"/>
    <col min="3" max="3" width="5.08984375" style="2" customWidth="1"/>
    <col min="4" max="4" width="9.36328125" style="2" customWidth="1"/>
    <col min="5" max="5" width="11.36328125" style="2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50.1796875" style="2" customWidth="1"/>
  </cols>
  <sheetData>
    <row r="1" spans="2:12" x14ac:dyDescent="0.35">
      <c r="B1" s="18" t="s">
        <v>2</v>
      </c>
      <c r="C1" s="125"/>
    </row>
    <row r="2" spans="2:12" x14ac:dyDescent="0.35">
      <c r="B2" s="18" t="s">
        <v>19</v>
      </c>
      <c r="C2" s="125"/>
    </row>
    <row r="3" spans="2:12" x14ac:dyDescent="0.35">
      <c r="B3" s="18" t="s">
        <v>185</v>
      </c>
      <c r="C3" s="125"/>
    </row>
    <row r="5" spans="2:12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2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2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2" s="10" customFormat="1" ht="27" customHeight="1" x14ac:dyDescent="0.35">
      <c r="B8" s="189">
        <v>45413</v>
      </c>
      <c r="C8" s="38"/>
      <c r="D8" s="39"/>
      <c r="E8" s="39"/>
      <c r="F8" s="204" t="s">
        <v>190</v>
      </c>
      <c r="G8" s="41"/>
      <c r="H8" s="41"/>
      <c r="I8" s="96"/>
      <c r="J8" s="96"/>
      <c r="K8" s="47"/>
      <c r="L8" s="76"/>
    </row>
    <row r="9" spans="2:12" s="10" customFormat="1" ht="33" customHeight="1" x14ac:dyDescent="0.35">
      <c r="B9" s="162">
        <v>45414</v>
      </c>
      <c r="C9" s="19">
        <v>1</v>
      </c>
      <c r="D9" s="11" t="s">
        <v>127</v>
      </c>
      <c r="E9" s="11" t="s">
        <v>424</v>
      </c>
      <c r="F9" s="6" t="s">
        <v>425</v>
      </c>
      <c r="G9" s="41"/>
      <c r="H9" s="33"/>
      <c r="I9" s="7"/>
      <c r="J9" s="8"/>
      <c r="K9" s="8"/>
      <c r="L9" s="6"/>
    </row>
    <row r="10" spans="2:12" s="10" customFormat="1" ht="15.5" customHeight="1" x14ac:dyDescent="0.35">
      <c r="B10" s="314">
        <v>45415</v>
      </c>
      <c r="C10" s="306">
        <v>1</v>
      </c>
      <c r="D10" s="340" t="s">
        <v>89</v>
      </c>
      <c r="E10" s="340" t="s">
        <v>97</v>
      </c>
      <c r="F10" s="309" t="s">
        <v>417</v>
      </c>
      <c r="G10" s="41"/>
      <c r="H10" s="33"/>
      <c r="I10" s="47"/>
      <c r="J10" s="8"/>
      <c r="K10" s="21" t="s">
        <v>1</v>
      </c>
      <c r="L10" s="354" t="s">
        <v>418</v>
      </c>
    </row>
    <row r="11" spans="2:12" s="10" customFormat="1" ht="15.5" customHeight="1" x14ac:dyDescent="0.35">
      <c r="B11" s="315"/>
      <c r="C11" s="308"/>
      <c r="D11" s="341"/>
      <c r="E11" s="341"/>
      <c r="F11" s="310"/>
      <c r="G11" s="41"/>
      <c r="H11" s="33"/>
      <c r="I11" s="47"/>
      <c r="J11" s="8"/>
      <c r="K11" s="22">
        <v>45415</v>
      </c>
      <c r="L11" s="355"/>
    </row>
    <row r="12" spans="2:12" s="10" customFormat="1" ht="58" x14ac:dyDescent="0.35">
      <c r="B12" s="315"/>
      <c r="C12" s="19">
        <v>3</v>
      </c>
      <c r="D12" s="5" t="s">
        <v>52</v>
      </c>
      <c r="E12" s="5" t="s">
        <v>48</v>
      </c>
      <c r="F12" s="6" t="s">
        <v>419</v>
      </c>
      <c r="G12" s="33"/>
      <c r="H12" s="33"/>
      <c r="I12" s="7"/>
      <c r="J12" s="8"/>
      <c r="K12" s="8"/>
      <c r="L12" s="9"/>
    </row>
    <row r="13" spans="2:12" s="10" customFormat="1" ht="34" customHeight="1" x14ac:dyDescent="0.35">
      <c r="B13" s="315"/>
      <c r="C13" s="38">
        <v>4</v>
      </c>
      <c r="D13" s="39" t="s">
        <v>29</v>
      </c>
      <c r="E13" s="39" t="s">
        <v>50</v>
      </c>
      <c r="F13" s="40" t="s">
        <v>420</v>
      </c>
      <c r="G13" s="41" t="s">
        <v>421</v>
      </c>
      <c r="H13" s="41"/>
      <c r="I13" s="7"/>
      <c r="J13" s="44"/>
      <c r="K13" s="44"/>
      <c r="L13" s="45"/>
    </row>
    <row r="14" spans="2:12" s="10" customFormat="1" ht="47" customHeight="1" x14ac:dyDescent="0.35">
      <c r="B14" s="315"/>
      <c r="C14" s="38">
        <v>5</v>
      </c>
      <c r="D14" s="39" t="s">
        <v>52</v>
      </c>
      <c r="E14" s="39" t="s">
        <v>65</v>
      </c>
      <c r="F14" s="40" t="s">
        <v>422</v>
      </c>
      <c r="G14" s="41"/>
      <c r="H14" s="41"/>
      <c r="I14" s="7"/>
      <c r="J14" s="44"/>
      <c r="K14" s="44"/>
      <c r="L14" s="45" t="s">
        <v>423</v>
      </c>
    </row>
    <row r="15" spans="2:12" s="10" customFormat="1" ht="34.5" customHeight="1" x14ac:dyDescent="0.35">
      <c r="B15" s="316"/>
      <c r="C15" s="19">
        <v>6</v>
      </c>
      <c r="D15" s="5" t="s">
        <v>52</v>
      </c>
      <c r="E15" s="5" t="s">
        <v>60</v>
      </c>
      <c r="F15" s="6" t="s">
        <v>114</v>
      </c>
      <c r="G15" s="41"/>
      <c r="H15" s="33"/>
      <c r="I15" s="7"/>
      <c r="J15" s="8"/>
      <c r="K15" s="8"/>
      <c r="L15" s="9"/>
    </row>
    <row r="16" spans="2:12" s="3" customFormat="1" ht="21.5" customHeight="1" x14ac:dyDescent="0.35">
      <c r="B16" s="288" t="s">
        <v>45</v>
      </c>
      <c r="C16" s="288"/>
      <c r="D16" s="288"/>
      <c r="E16" s="288"/>
      <c r="F16" s="288"/>
      <c r="G16" s="288"/>
      <c r="H16" s="288"/>
      <c r="I16" s="288"/>
      <c r="J16" s="288"/>
      <c r="K16" s="288"/>
      <c r="L16" s="290"/>
    </row>
    <row r="17" spans="2:12" s="10" customFormat="1" ht="58" x14ac:dyDescent="0.35">
      <c r="B17" s="351">
        <v>45418</v>
      </c>
      <c r="C17" s="163"/>
      <c r="D17" s="164" t="s">
        <v>129</v>
      </c>
      <c r="E17" s="164" t="s">
        <v>42</v>
      </c>
      <c r="F17" s="48" t="s">
        <v>416</v>
      </c>
      <c r="G17" s="49"/>
      <c r="H17" s="49"/>
      <c r="I17" s="34"/>
      <c r="J17" s="46"/>
      <c r="K17" s="46"/>
      <c r="L17" s="50"/>
    </row>
    <row r="18" spans="2:12" s="10" customFormat="1" ht="58" x14ac:dyDescent="0.35">
      <c r="B18" s="352"/>
      <c r="C18" s="163"/>
      <c r="D18" s="164" t="s">
        <v>89</v>
      </c>
      <c r="E18" s="164" t="s">
        <v>14</v>
      </c>
      <c r="F18" s="48" t="s">
        <v>411</v>
      </c>
      <c r="G18" s="49" t="s">
        <v>39</v>
      </c>
      <c r="H18" s="49" t="s">
        <v>38</v>
      </c>
      <c r="I18" s="34"/>
      <c r="J18" s="46"/>
      <c r="K18" s="46"/>
      <c r="L18" s="50"/>
    </row>
    <row r="19" spans="2:12" s="10" customFormat="1" ht="58" x14ac:dyDescent="0.35">
      <c r="B19" s="352"/>
      <c r="C19" s="163"/>
      <c r="D19" s="166" t="s">
        <v>24</v>
      </c>
      <c r="E19" s="166" t="s">
        <v>14</v>
      </c>
      <c r="F19" s="51" t="s">
        <v>412</v>
      </c>
      <c r="G19" s="52" t="s">
        <v>18</v>
      </c>
      <c r="H19" s="49" t="s">
        <v>41</v>
      </c>
      <c r="I19" s="34"/>
      <c r="J19" s="46"/>
      <c r="K19" s="46"/>
      <c r="L19" s="50"/>
    </row>
    <row r="20" spans="2:12" s="10" customFormat="1" ht="45.5" customHeight="1" x14ac:dyDescent="0.35">
      <c r="B20" s="352"/>
      <c r="C20" s="163"/>
      <c r="D20" s="166" t="s">
        <v>52</v>
      </c>
      <c r="E20" s="166" t="s">
        <v>64</v>
      </c>
      <c r="F20" s="51" t="s">
        <v>413</v>
      </c>
      <c r="G20" s="52" t="s">
        <v>43</v>
      </c>
      <c r="H20" s="49" t="s">
        <v>400</v>
      </c>
      <c r="I20" s="34"/>
      <c r="J20" s="46"/>
      <c r="K20" s="46"/>
      <c r="L20" s="50" t="s">
        <v>414</v>
      </c>
    </row>
    <row r="21" spans="2:12" s="10" customFormat="1" ht="43.5" x14ac:dyDescent="0.35">
      <c r="B21" s="352"/>
      <c r="C21" s="163"/>
      <c r="D21" s="166" t="s">
        <v>52</v>
      </c>
      <c r="E21" s="170" t="s">
        <v>48</v>
      </c>
      <c r="F21" s="51" t="s">
        <v>415</v>
      </c>
      <c r="G21" s="52"/>
      <c r="H21" s="49"/>
      <c r="I21" s="47"/>
      <c r="J21" s="47"/>
      <c r="K21" s="46"/>
      <c r="L21" s="171"/>
    </row>
    <row r="22" spans="2:12" ht="33.5" customHeight="1" x14ac:dyDescent="0.35">
      <c r="B22" s="351">
        <v>45419</v>
      </c>
      <c r="C22" s="168">
        <v>1</v>
      </c>
      <c r="D22" s="34" t="s">
        <v>52</v>
      </c>
      <c r="E22" s="34" t="s">
        <v>35</v>
      </c>
      <c r="F22" s="48" t="s">
        <v>403</v>
      </c>
      <c r="G22" s="34" t="s">
        <v>18</v>
      </c>
      <c r="H22" s="64" t="s">
        <v>62</v>
      </c>
      <c r="I22" s="55"/>
      <c r="J22" s="64"/>
      <c r="K22" s="64"/>
      <c r="L22" s="172"/>
    </row>
    <row r="23" spans="2:12" ht="29" x14ac:dyDescent="0.35">
      <c r="B23" s="352"/>
      <c r="C23" s="168">
        <f>C22+1</f>
        <v>2</v>
      </c>
      <c r="D23" s="64" t="s">
        <v>24</v>
      </c>
      <c r="E23" s="64" t="s">
        <v>97</v>
      </c>
      <c r="F23" s="169" t="s">
        <v>446</v>
      </c>
      <c r="G23" s="34" t="s">
        <v>112</v>
      </c>
      <c r="H23" s="64" t="s">
        <v>18</v>
      </c>
      <c r="I23" s="23"/>
      <c r="J23" s="64"/>
      <c r="K23" s="64"/>
      <c r="L23" s="169"/>
    </row>
    <row r="24" spans="2:12" ht="26.5" customHeight="1" x14ac:dyDescent="0.35">
      <c r="B24" s="167"/>
      <c r="C24" s="168">
        <f t="shared" ref="C24:C27" si="0">C23+1</f>
        <v>3</v>
      </c>
      <c r="D24" s="64" t="s">
        <v>52</v>
      </c>
      <c r="E24" s="64" t="s">
        <v>50</v>
      </c>
      <c r="F24" s="169" t="s">
        <v>404</v>
      </c>
      <c r="G24" s="34" t="s">
        <v>405</v>
      </c>
      <c r="H24" s="64"/>
      <c r="I24" s="23"/>
      <c r="J24" s="64"/>
      <c r="K24" s="64"/>
      <c r="L24" s="169"/>
    </row>
    <row r="25" spans="2:12" ht="32.5" customHeight="1" x14ac:dyDescent="0.35">
      <c r="B25" s="167"/>
      <c r="C25" s="168">
        <f t="shared" si="0"/>
        <v>4</v>
      </c>
      <c r="D25" s="64" t="s">
        <v>52</v>
      </c>
      <c r="E25" s="64" t="s">
        <v>133</v>
      </c>
      <c r="F25" s="169" t="s">
        <v>407</v>
      </c>
      <c r="G25" s="34" t="s">
        <v>18</v>
      </c>
      <c r="H25" s="64" t="s">
        <v>409</v>
      </c>
      <c r="I25" s="23"/>
      <c r="J25" s="64"/>
      <c r="K25" s="64"/>
      <c r="L25" s="169"/>
    </row>
    <row r="26" spans="2:12" ht="43.5" x14ac:dyDescent="0.35">
      <c r="B26" s="167"/>
      <c r="C26" s="168">
        <f t="shared" si="0"/>
        <v>5</v>
      </c>
      <c r="D26" s="64" t="s">
        <v>52</v>
      </c>
      <c r="E26" s="64" t="s">
        <v>371</v>
      </c>
      <c r="F26" s="169" t="s">
        <v>410</v>
      </c>
      <c r="G26" s="34" t="s">
        <v>18</v>
      </c>
      <c r="H26" s="64" t="s">
        <v>75</v>
      </c>
      <c r="I26" s="23"/>
      <c r="J26" s="64"/>
      <c r="K26" s="64"/>
      <c r="L26" s="169"/>
    </row>
    <row r="27" spans="2:12" ht="26.5" customHeight="1" x14ac:dyDescent="0.35">
      <c r="B27" s="167"/>
      <c r="C27" s="168">
        <f t="shared" si="0"/>
        <v>6</v>
      </c>
      <c r="D27" s="64" t="s">
        <v>24</v>
      </c>
      <c r="E27" s="64" t="s">
        <v>14</v>
      </c>
      <c r="F27" s="169" t="s">
        <v>408</v>
      </c>
      <c r="G27" s="34" t="s">
        <v>18</v>
      </c>
      <c r="H27" s="64" t="s">
        <v>41</v>
      </c>
      <c r="I27" s="23"/>
      <c r="J27" s="64"/>
      <c r="K27" s="64"/>
      <c r="L27" s="169"/>
    </row>
    <row r="28" spans="2:12" ht="32" customHeight="1" x14ac:dyDescent="0.35">
      <c r="B28" s="351">
        <v>45420</v>
      </c>
      <c r="C28" s="163">
        <v>1</v>
      </c>
      <c r="D28" s="34" t="s">
        <v>52</v>
      </c>
      <c r="E28" s="34" t="s">
        <v>35</v>
      </c>
      <c r="F28" s="48" t="s">
        <v>398</v>
      </c>
      <c r="G28" s="34"/>
      <c r="H28" s="34"/>
      <c r="I28" s="23"/>
      <c r="J28" s="64"/>
      <c r="K28" s="64"/>
      <c r="L28" s="172"/>
    </row>
    <row r="29" spans="2:12" ht="59" customHeight="1" x14ac:dyDescent="0.35">
      <c r="B29" s="352"/>
      <c r="C29" s="163">
        <f>C28+1</f>
        <v>2</v>
      </c>
      <c r="D29" s="34" t="s">
        <v>24</v>
      </c>
      <c r="E29" s="34" t="s">
        <v>14</v>
      </c>
      <c r="F29" s="48" t="s">
        <v>399</v>
      </c>
      <c r="G29" s="34" t="s">
        <v>11</v>
      </c>
      <c r="H29" s="34" t="s">
        <v>90</v>
      </c>
      <c r="I29" s="23"/>
      <c r="J29" s="64"/>
      <c r="K29" s="64"/>
      <c r="L29" s="186"/>
    </row>
    <row r="30" spans="2:12" ht="32" customHeight="1" x14ac:dyDescent="0.35">
      <c r="B30" s="352"/>
      <c r="C30" s="163">
        <f t="shared" ref="C30:C31" si="1">C29+1</f>
        <v>3</v>
      </c>
      <c r="D30" s="34" t="s">
        <v>52</v>
      </c>
      <c r="E30" s="34" t="s">
        <v>400</v>
      </c>
      <c r="F30" s="48" t="s">
        <v>401</v>
      </c>
      <c r="G30" s="34"/>
      <c r="H30" s="34"/>
      <c r="I30" s="23"/>
      <c r="J30" s="64"/>
      <c r="K30" s="64"/>
      <c r="L30" s="186"/>
    </row>
    <row r="31" spans="2:12" ht="36.5" customHeight="1" x14ac:dyDescent="0.35">
      <c r="B31" s="353"/>
      <c r="C31" s="163">
        <f t="shared" si="1"/>
        <v>4</v>
      </c>
      <c r="D31" s="34" t="s">
        <v>24</v>
      </c>
      <c r="E31" s="34" t="s">
        <v>50</v>
      </c>
      <c r="F31" s="173" t="s">
        <v>402</v>
      </c>
      <c r="G31" s="34"/>
      <c r="H31" s="34"/>
      <c r="I31" s="47"/>
      <c r="J31" s="64"/>
      <c r="K31" s="64"/>
      <c r="L31" s="53"/>
    </row>
    <row r="32" spans="2:12" ht="33.5" customHeight="1" x14ac:dyDescent="0.35">
      <c r="B32" s="190">
        <v>45421</v>
      </c>
      <c r="C32" s="191"/>
      <c r="D32" s="192"/>
      <c r="E32" s="192"/>
      <c r="F32" s="193" t="s">
        <v>190</v>
      </c>
      <c r="G32" s="34"/>
      <c r="H32" s="64"/>
      <c r="I32" s="23"/>
      <c r="J32" s="64"/>
      <c r="K32" s="64"/>
      <c r="L32" s="169"/>
    </row>
    <row r="33" spans="2:12" ht="27.5" customHeight="1" x14ac:dyDescent="0.35">
      <c r="B33" s="194">
        <v>45421</v>
      </c>
      <c r="C33" s="191"/>
      <c r="D33" s="192"/>
      <c r="E33" s="192"/>
      <c r="F33" s="193" t="s">
        <v>190</v>
      </c>
      <c r="G33" s="64"/>
      <c r="H33" s="64"/>
      <c r="I33" s="23"/>
      <c r="J33" s="64"/>
      <c r="K33" s="64"/>
      <c r="L33" s="172"/>
    </row>
    <row r="34" spans="2:12" s="3" customFormat="1" ht="21.5" customHeight="1" x14ac:dyDescent="0.35">
      <c r="B34" s="288" t="s">
        <v>434</v>
      </c>
      <c r="C34" s="288"/>
      <c r="D34" s="288"/>
      <c r="E34" s="288"/>
      <c r="F34" s="288"/>
      <c r="G34" s="288"/>
      <c r="H34" s="288"/>
      <c r="I34" s="288"/>
      <c r="J34" s="288"/>
      <c r="K34" s="288"/>
      <c r="L34" s="290"/>
    </row>
    <row r="35" spans="2:12" ht="32.5" customHeight="1" x14ac:dyDescent="0.35">
      <c r="B35" s="348">
        <v>45425</v>
      </c>
      <c r="C35" s="168">
        <v>1</v>
      </c>
      <c r="D35" s="64" t="s">
        <v>24</v>
      </c>
      <c r="E35" s="64" t="s">
        <v>97</v>
      </c>
      <c r="F35" s="169" t="s">
        <v>181</v>
      </c>
      <c r="G35" s="64"/>
      <c r="H35" s="64"/>
      <c r="I35" s="23"/>
      <c r="J35" s="64"/>
      <c r="K35" s="64"/>
      <c r="L35" s="172"/>
    </row>
    <row r="36" spans="2:12" ht="32.5" customHeight="1" x14ac:dyDescent="0.35">
      <c r="B36" s="349"/>
      <c r="C36" s="168">
        <f>C35+1</f>
        <v>2</v>
      </c>
      <c r="D36" s="64" t="s">
        <v>29</v>
      </c>
      <c r="E36" s="64" t="s">
        <v>42</v>
      </c>
      <c r="F36" s="169" t="s">
        <v>390</v>
      </c>
      <c r="G36" s="64" t="s">
        <v>43</v>
      </c>
      <c r="H36" s="64" t="s">
        <v>391</v>
      </c>
      <c r="I36" s="23"/>
      <c r="J36" s="64"/>
      <c r="K36" s="64"/>
      <c r="L36" s="172"/>
    </row>
    <row r="37" spans="2:12" ht="32.5" customHeight="1" x14ac:dyDescent="0.35">
      <c r="B37" s="349"/>
      <c r="C37" s="168">
        <f t="shared" ref="C37:C39" si="2">C36+1</f>
        <v>3</v>
      </c>
      <c r="D37" s="64" t="s">
        <v>52</v>
      </c>
      <c r="E37" s="64" t="s">
        <v>128</v>
      </c>
      <c r="F37" s="187" t="s">
        <v>388</v>
      </c>
      <c r="G37" s="64"/>
      <c r="H37" s="64" t="s">
        <v>389</v>
      </c>
      <c r="I37" s="23"/>
      <c r="J37" s="64"/>
      <c r="K37" s="64"/>
      <c r="L37" s="172"/>
    </row>
    <row r="38" spans="2:12" ht="32.5" customHeight="1" x14ac:dyDescent="0.35">
      <c r="B38" s="349"/>
      <c r="C38" s="168">
        <f t="shared" si="2"/>
        <v>4</v>
      </c>
      <c r="D38" s="64" t="s">
        <v>29</v>
      </c>
      <c r="E38" s="64" t="s">
        <v>50</v>
      </c>
      <c r="F38" s="188" t="s">
        <v>406</v>
      </c>
      <c r="G38" s="64"/>
      <c r="H38" s="64"/>
      <c r="I38" s="23"/>
      <c r="J38" s="64"/>
      <c r="K38" s="64"/>
      <c r="L38" s="172"/>
    </row>
    <row r="39" spans="2:12" ht="32.5" customHeight="1" x14ac:dyDescent="0.35">
      <c r="B39" s="350"/>
      <c r="C39" s="168">
        <f t="shared" si="2"/>
        <v>5</v>
      </c>
      <c r="D39" s="64" t="s">
        <v>52</v>
      </c>
      <c r="E39" s="64" t="s">
        <v>48</v>
      </c>
      <c r="F39" s="169" t="s">
        <v>387</v>
      </c>
      <c r="G39" s="34" t="s">
        <v>93</v>
      </c>
      <c r="H39" s="64" t="s">
        <v>138</v>
      </c>
      <c r="I39" s="23"/>
      <c r="J39" s="64"/>
      <c r="K39" s="64"/>
      <c r="L39" s="172"/>
    </row>
    <row r="40" spans="2:12" ht="32.5" customHeight="1" x14ac:dyDescent="0.35">
      <c r="B40" s="174">
        <v>45426</v>
      </c>
      <c r="C40" s="168">
        <v>1</v>
      </c>
      <c r="D40" s="64" t="s">
        <v>52</v>
      </c>
      <c r="E40" s="64" t="s">
        <v>48</v>
      </c>
      <c r="F40" s="169" t="s">
        <v>386</v>
      </c>
      <c r="G40" s="34" t="s">
        <v>93</v>
      </c>
      <c r="H40" s="64" t="s">
        <v>94</v>
      </c>
      <c r="I40" s="23"/>
      <c r="J40" s="64"/>
      <c r="K40" s="64"/>
      <c r="L40" s="172"/>
    </row>
    <row r="41" spans="2:12" ht="32.5" customHeight="1" x14ac:dyDescent="0.35">
      <c r="B41" s="174"/>
      <c r="C41" s="168">
        <f>C40+1</f>
        <v>2</v>
      </c>
      <c r="D41" s="64" t="s">
        <v>47</v>
      </c>
      <c r="E41" s="64" t="s">
        <v>50</v>
      </c>
      <c r="F41" s="169" t="s">
        <v>393</v>
      </c>
      <c r="G41" s="34"/>
      <c r="H41" s="64"/>
      <c r="I41" s="23"/>
      <c r="J41" s="64"/>
      <c r="K41" s="64"/>
      <c r="L41" s="172" t="s">
        <v>392</v>
      </c>
    </row>
    <row r="42" spans="2:12" ht="32.5" customHeight="1" x14ac:dyDescent="0.35">
      <c r="B42" s="174"/>
      <c r="C42" s="168">
        <f t="shared" ref="C42:C43" si="3">C41+1</f>
        <v>3</v>
      </c>
      <c r="D42" s="64" t="s">
        <v>129</v>
      </c>
      <c r="E42" s="64" t="s">
        <v>97</v>
      </c>
      <c r="F42" s="169" t="s">
        <v>384</v>
      </c>
      <c r="G42" s="34" t="s">
        <v>93</v>
      </c>
      <c r="H42" s="176" t="s">
        <v>385</v>
      </c>
      <c r="I42" s="23"/>
      <c r="J42" s="64"/>
      <c r="K42" s="64"/>
      <c r="L42" s="172"/>
    </row>
    <row r="43" spans="2:12" ht="32.5" customHeight="1" x14ac:dyDescent="0.35">
      <c r="B43" s="175"/>
      <c r="C43" s="168">
        <f t="shared" si="3"/>
        <v>4</v>
      </c>
      <c r="D43" s="64" t="s">
        <v>24</v>
      </c>
      <c r="E43" s="64" t="s">
        <v>50</v>
      </c>
      <c r="F43" s="169" t="s">
        <v>394</v>
      </c>
      <c r="G43" s="64"/>
      <c r="H43" s="64"/>
      <c r="I43" s="23"/>
      <c r="J43" s="64"/>
      <c r="K43" s="64"/>
      <c r="L43" s="172"/>
    </row>
    <row r="44" spans="2:12" ht="43.5" x14ac:dyDescent="0.35">
      <c r="B44" s="174">
        <v>45427</v>
      </c>
      <c r="C44" s="168">
        <v>1</v>
      </c>
      <c r="D44" s="64" t="s">
        <v>89</v>
      </c>
      <c r="E44" s="64" t="s">
        <v>97</v>
      </c>
      <c r="F44" s="169" t="s">
        <v>395</v>
      </c>
      <c r="G44" s="64"/>
      <c r="H44" s="64"/>
      <c r="I44" s="23"/>
      <c r="J44" s="64"/>
      <c r="K44" s="64"/>
      <c r="L44" s="172"/>
    </row>
    <row r="45" spans="2:12" ht="32.5" customHeight="1" x14ac:dyDescent="0.35">
      <c r="B45" s="174"/>
      <c r="C45" s="168">
        <v>2</v>
      </c>
      <c r="D45" s="64" t="s">
        <v>52</v>
      </c>
      <c r="E45" s="64" t="s">
        <v>60</v>
      </c>
      <c r="F45" s="169" t="s">
        <v>396</v>
      </c>
      <c r="G45" s="64"/>
      <c r="H45" s="64"/>
      <c r="I45" s="23"/>
      <c r="J45" s="64"/>
      <c r="K45" s="64"/>
      <c r="L45" s="172"/>
    </row>
    <row r="46" spans="2:12" ht="32.5" customHeight="1" x14ac:dyDescent="0.35">
      <c r="B46" s="174"/>
      <c r="C46" s="168">
        <v>3</v>
      </c>
      <c r="D46" s="64" t="s">
        <v>52</v>
      </c>
      <c r="E46" s="64" t="s">
        <v>8</v>
      </c>
      <c r="F46" s="169" t="s">
        <v>397</v>
      </c>
      <c r="G46" s="64"/>
      <c r="H46" s="64"/>
      <c r="I46" s="23"/>
      <c r="J46" s="64"/>
      <c r="K46" s="64"/>
      <c r="L46" s="172"/>
    </row>
    <row r="47" spans="2:12" ht="32" customHeight="1" x14ac:dyDescent="0.35">
      <c r="B47" s="195">
        <v>45428</v>
      </c>
      <c r="C47" s="181">
        <v>1</v>
      </c>
      <c r="D47" s="181" t="s">
        <v>52</v>
      </c>
      <c r="E47" s="184" t="s">
        <v>382</v>
      </c>
      <c r="F47" s="185" t="s">
        <v>383</v>
      </c>
      <c r="G47" s="34" t="s">
        <v>93</v>
      </c>
      <c r="H47" s="64" t="s">
        <v>93</v>
      </c>
      <c r="I47" s="183"/>
      <c r="J47" s="183"/>
      <c r="K47" s="183"/>
      <c r="L47" s="183"/>
    </row>
    <row r="48" spans="2:12" ht="32" customHeight="1" x14ac:dyDescent="0.35">
      <c r="B48" s="205"/>
      <c r="C48" s="181">
        <f>C47+1</f>
        <v>2</v>
      </c>
      <c r="D48" s="181" t="s">
        <v>52</v>
      </c>
      <c r="E48" s="181" t="s">
        <v>97</v>
      </c>
      <c r="F48" s="182" t="s">
        <v>381</v>
      </c>
      <c r="G48" s="34" t="s">
        <v>93</v>
      </c>
      <c r="H48" s="181" t="s">
        <v>61</v>
      </c>
      <c r="I48" s="180"/>
      <c r="J48" s="180"/>
      <c r="K48" s="180"/>
      <c r="L48" s="180"/>
    </row>
    <row r="49" spans="2:12" ht="32" customHeight="1" x14ac:dyDescent="0.35">
      <c r="B49" s="205"/>
      <c r="C49" s="181">
        <f t="shared" ref="C49:C55" si="4">C48+1</f>
        <v>3</v>
      </c>
      <c r="D49" s="181" t="s">
        <v>29</v>
      </c>
      <c r="E49" s="181" t="s">
        <v>33</v>
      </c>
      <c r="F49" s="182" t="s">
        <v>379</v>
      </c>
      <c r="G49" s="34" t="s">
        <v>93</v>
      </c>
      <c r="H49" s="181" t="s">
        <v>380</v>
      </c>
      <c r="I49" s="180"/>
      <c r="J49" s="180"/>
      <c r="K49" s="180"/>
      <c r="L49" s="180"/>
    </row>
    <row r="50" spans="2:12" ht="33.5" customHeight="1" x14ac:dyDescent="0.35">
      <c r="B50" s="205"/>
      <c r="C50" s="181">
        <f t="shared" si="4"/>
        <v>4</v>
      </c>
      <c r="D50" s="64" t="s">
        <v>52</v>
      </c>
      <c r="E50" s="176" t="s">
        <v>377</v>
      </c>
      <c r="F50" s="169" t="s">
        <v>378</v>
      </c>
      <c r="G50" s="34" t="s">
        <v>18</v>
      </c>
      <c r="H50" s="64" t="s">
        <v>93</v>
      </c>
      <c r="I50" s="23"/>
      <c r="J50" s="64"/>
      <c r="K50" s="64"/>
      <c r="L50" s="172"/>
    </row>
    <row r="51" spans="2:12" ht="32" customHeight="1" x14ac:dyDescent="0.35">
      <c r="B51" s="206"/>
      <c r="C51" s="181">
        <f t="shared" si="4"/>
        <v>5</v>
      </c>
      <c r="D51" s="34" t="s">
        <v>52</v>
      </c>
      <c r="E51" s="34" t="s">
        <v>60</v>
      </c>
      <c r="F51" s="48" t="s">
        <v>376</v>
      </c>
      <c r="G51" s="34" t="s">
        <v>43</v>
      </c>
      <c r="H51" s="34" t="s">
        <v>62</v>
      </c>
      <c r="I51" s="47"/>
      <c r="J51" s="34"/>
      <c r="K51" s="34"/>
      <c r="L51" s="50"/>
    </row>
    <row r="52" spans="2:12" ht="36" customHeight="1" x14ac:dyDescent="0.35">
      <c r="B52" s="174">
        <v>45429</v>
      </c>
      <c r="C52" s="181">
        <v>1</v>
      </c>
      <c r="D52" s="64" t="s">
        <v>24</v>
      </c>
      <c r="E52" s="64" t="s">
        <v>14</v>
      </c>
      <c r="F52" s="177" t="s">
        <v>374</v>
      </c>
      <c r="G52" s="34" t="s">
        <v>18</v>
      </c>
      <c r="H52" s="34" t="s">
        <v>30</v>
      </c>
      <c r="I52" s="55"/>
      <c r="J52" s="64"/>
      <c r="K52" s="64"/>
      <c r="L52" s="172" t="s">
        <v>375</v>
      </c>
    </row>
    <row r="53" spans="2:12" ht="43.5" x14ac:dyDescent="0.35">
      <c r="B53" s="205"/>
      <c r="C53" s="181">
        <f t="shared" si="4"/>
        <v>2</v>
      </c>
      <c r="D53" s="64" t="s">
        <v>52</v>
      </c>
      <c r="E53" s="64" t="s">
        <v>371</v>
      </c>
      <c r="F53" s="169" t="s">
        <v>372</v>
      </c>
      <c r="G53" s="64" t="s">
        <v>18</v>
      </c>
      <c r="H53" s="64" t="s">
        <v>75</v>
      </c>
      <c r="I53" s="23"/>
      <c r="J53" s="64"/>
      <c r="K53" s="64"/>
      <c r="L53" s="172" t="s">
        <v>373</v>
      </c>
    </row>
    <row r="54" spans="2:12" ht="27" customHeight="1" x14ac:dyDescent="0.35">
      <c r="B54" s="205"/>
      <c r="C54" s="181">
        <f t="shared" si="4"/>
        <v>3</v>
      </c>
      <c r="D54" s="178" t="s">
        <v>52</v>
      </c>
      <c r="E54" s="64" t="s">
        <v>60</v>
      </c>
      <c r="F54" s="169" t="s">
        <v>426</v>
      </c>
      <c r="G54" s="178"/>
      <c r="H54" s="64"/>
      <c r="I54" s="23"/>
      <c r="J54" s="64"/>
      <c r="K54" s="64"/>
      <c r="L54" s="179"/>
    </row>
    <row r="55" spans="2:12" ht="43.5" x14ac:dyDescent="0.35">
      <c r="B55" s="206"/>
      <c r="C55" s="181">
        <f t="shared" si="4"/>
        <v>4</v>
      </c>
      <c r="D55" s="178" t="s">
        <v>29</v>
      </c>
      <c r="E55" s="34" t="s">
        <v>48</v>
      </c>
      <c r="F55" s="48" t="s">
        <v>370</v>
      </c>
      <c r="G55" s="178"/>
      <c r="H55" s="34"/>
      <c r="I55" s="23"/>
      <c r="J55" s="34"/>
      <c r="K55" s="34"/>
      <c r="L55" s="179"/>
    </row>
    <row r="56" spans="2:12" s="3" customFormat="1" ht="21.5" customHeight="1" x14ac:dyDescent="0.35">
      <c r="B56" s="288" t="s">
        <v>53</v>
      </c>
      <c r="C56" s="288"/>
      <c r="D56" s="288"/>
      <c r="E56" s="288"/>
      <c r="F56" s="288"/>
      <c r="G56" s="288"/>
      <c r="H56" s="288"/>
      <c r="I56" s="288"/>
      <c r="J56" s="288"/>
      <c r="K56" s="288"/>
      <c r="L56" s="290"/>
    </row>
    <row r="57" spans="2:12" ht="31" customHeight="1" x14ac:dyDescent="0.35">
      <c r="B57" s="345">
        <v>45432</v>
      </c>
      <c r="C57" s="168">
        <v>1</v>
      </c>
      <c r="D57" s="64" t="s">
        <v>29</v>
      </c>
      <c r="E57" s="64" t="s">
        <v>50</v>
      </c>
      <c r="F57" s="169" t="s">
        <v>360</v>
      </c>
      <c r="G57" s="64"/>
      <c r="H57" s="64"/>
      <c r="I57" s="23"/>
      <c r="J57" s="64"/>
      <c r="K57" s="64"/>
      <c r="L57" s="161"/>
    </row>
    <row r="58" spans="2:12" ht="31" customHeight="1" x14ac:dyDescent="0.35">
      <c r="B58" s="346"/>
      <c r="C58" s="168">
        <v>2</v>
      </c>
      <c r="D58" s="64" t="s">
        <v>29</v>
      </c>
      <c r="E58" s="64" t="s">
        <v>50</v>
      </c>
      <c r="F58" s="169" t="s">
        <v>361</v>
      </c>
      <c r="G58" s="64"/>
      <c r="H58" s="64"/>
      <c r="I58" s="23"/>
      <c r="J58" s="64"/>
      <c r="K58" s="64"/>
      <c r="L58" s="172"/>
    </row>
    <row r="59" spans="2:12" ht="43.5" x14ac:dyDescent="0.35">
      <c r="B59" s="346"/>
      <c r="C59" s="168">
        <v>3</v>
      </c>
      <c r="D59" s="64" t="s">
        <v>89</v>
      </c>
      <c r="E59" s="64" t="s">
        <v>48</v>
      </c>
      <c r="F59" s="169" t="s">
        <v>362</v>
      </c>
      <c r="G59" s="64" t="s">
        <v>11</v>
      </c>
      <c r="H59" s="64" t="s">
        <v>247</v>
      </c>
      <c r="I59" s="23"/>
      <c r="J59" s="64"/>
      <c r="K59" s="64"/>
      <c r="L59" s="172"/>
    </row>
    <row r="60" spans="2:12" ht="58" x14ac:dyDescent="0.35">
      <c r="B60" s="346"/>
      <c r="C60" s="168">
        <v>4</v>
      </c>
      <c r="D60" s="64" t="s">
        <v>29</v>
      </c>
      <c r="E60" s="64" t="s">
        <v>14</v>
      </c>
      <c r="F60" s="169" t="s">
        <v>363</v>
      </c>
      <c r="G60" s="64" t="s">
        <v>18</v>
      </c>
      <c r="H60" s="64" t="s">
        <v>138</v>
      </c>
      <c r="I60" s="23"/>
      <c r="J60" s="64"/>
      <c r="K60" s="64"/>
      <c r="L60" s="172"/>
    </row>
    <row r="61" spans="2:12" ht="41.5" customHeight="1" x14ac:dyDescent="0.35">
      <c r="B61" s="346"/>
      <c r="C61" s="165">
        <v>5</v>
      </c>
      <c r="D61" s="34" t="s">
        <v>24</v>
      </c>
      <c r="E61" s="111" t="s">
        <v>42</v>
      </c>
      <c r="F61" s="160" t="s">
        <v>364</v>
      </c>
      <c r="G61" s="64" t="s">
        <v>18</v>
      </c>
      <c r="H61" s="111" t="s">
        <v>93</v>
      </c>
      <c r="I61" s="47"/>
      <c r="J61" s="64"/>
      <c r="K61" s="47"/>
      <c r="L61" s="64"/>
    </row>
    <row r="62" spans="2:12" ht="33.5" customHeight="1" x14ac:dyDescent="0.35">
      <c r="B62" s="346"/>
      <c r="C62" s="165">
        <v>6</v>
      </c>
      <c r="D62" s="64" t="s">
        <v>24</v>
      </c>
      <c r="E62" s="111" t="s">
        <v>42</v>
      </c>
      <c r="F62" s="51" t="s">
        <v>365</v>
      </c>
      <c r="G62" s="64" t="s">
        <v>18</v>
      </c>
      <c r="H62" s="111" t="s">
        <v>56</v>
      </c>
      <c r="I62" s="47"/>
      <c r="J62" s="64"/>
      <c r="K62" s="64"/>
      <c r="L62" s="64"/>
    </row>
    <row r="63" spans="2:12" ht="31.5" customHeight="1" x14ac:dyDescent="0.35">
      <c r="B63" s="346"/>
      <c r="C63" s="163">
        <v>7</v>
      </c>
      <c r="D63" s="64" t="s">
        <v>89</v>
      </c>
      <c r="E63" s="34" t="s">
        <v>128</v>
      </c>
      <c r="F63" s="48" t="s">
        <v>366</v>
      </c>
      <c r="G63" s="64" t="s">
        <v>18</v>
      </c>
      <c r="H63" s="49" t="s">
        <v>85</v>
      </c>
      <c r="I63" s="47"/>
      <c r="J63" s="64"/>
      <c r="K63" s="64"/>
      <c r="L63" s="64"/>
    </row>
    <row r="64" spans="2:12" ht="35" customHeight="1" x14ac:dyDescent="0.35">
      <c r="B64" s="346"/>
      <c r="C64" s="168">
        <v>8</v>
      </c>
      <c r="D64" s="64" t="s">
        <v>52</v>
      </c>
      <c r="E64" s="176" t="s">
        <v>133</v>
      </c>
      <c r="F64" s="169" t="s">
        <v>367</v>
      </c>
      <c r="G64" s="64"/>
      <c r="H64" s="64"/>
      <c r="I64" s="23"/>
      <c r="J64" s="64"/>
      <c r="K64" s="64"/>
      <c r="L64" s="64"/>
    </row>
    <row r="65" spans="2:12" ht="36" customHeight="1" x14ac:dyDescent="0.35">
      <c r="B65" s="347"/>
      <c r="C65" s="20">
        <v>9</v>
      </c>
      <c r="D65" s="14" t="s">
        <v>52</v>
      </c>
      <c r="E65" s="14" t="s">
        <v>368</v>
      </c>
      <c r="F65" s="15" t="s">
        <v>369</v>
      </c>
      <c r="G65" s="14"/>
      <c r="H65" s="14"/>
      <c r="I65" s="23"/>
      <c r="J65" s="14"/>
      <c r="K65" s="14"/>
      <c r="L65" s="14"/>
    </row>
    <row r="66" spans="2:12" ht="36" customHeight="1" x14ac:dyDescent="0.35">
      <c r="B66" s="162">
        <v>45433</v>
      </c>
      <c r="C66" s="20">
        <v>1</v>
      </c>
      <c r="D66" s="14" t="s">
        <v>89</v>
      </c>
      <c r="E66" s="14" t="s">
        <v>97</v>
      </c>
      <c r="F66" s="15" t="s">
        <v>427</v>
      </c>
      <c r="G66" s="64" t="s">
        <v>18</v>
      </c>
      <c r="H66" s="14" t="s">
        <v>88</v>
      </c>
      <c r="I66" s="23"/>
      <c r="J66" s="14"/>
      <c r="K66" s="14"/>
      <c r="L66" s="14"/>
    </row>
    <row r="67" spans="2:12" ht="36" customHeight="1" x14ac:dyDescent="0.35">
      <c r="B67" s="162"/>
      <c r="C67" s="20">
        <v>2</v>
      </c>
      <c r="D67" s="14" t="s">
        <v>52</v>
      </c>
      <c r="E67" s="14" t="s">
        <v>428</v>
      </c>
      <c r="F67" s="15" t="s">
        <v>429</v>
      </c>
      <c r="G67" s="14"/>
      <c r="H67" s="14"/>
      <c r="I67" s="23"/>
      <c r="J67" s="14"/>
      <c r="K67" s="14"/>
      <c r="L67" s="14"/>
    </row>
    <row r="68" spans="2:12" ht="36" customHeight="1" x14ac:dyDescent="0.35">
      <c r="B68" s="162"/>
      <c r="C68" s="20">
        <v>3</v>
      </c>
      <c r="D68" s="14" t="s">
        <v>52</v>
      </c>
      <c r="E68" s="14" t="s">
        <v>133</v>
      </c>
      <c r="F68" s="15" t="s">
        <v>430</v>
      </c>
      <c r="G68" s="14"/>
      <c r="H68" s="14"/>
      <c r="I68" s="23"/>
      <c r="J68" s="14"/>
      <c r="K68" s="14"/>
      <c r="L68" s="14"/>
    </row>
    <row r="69" spans="2:12" ht="36" customHeight="1" x14ac:dyDescent="0.35">
      <c r="B69" s="162"/>
      <c r="C69" s="20">
        <v>4</v>
      </c>
      <c r="D69" s="14" t="s">
        <v>52</v>
      </c>
      <c r="E69" s="14" t="s">
        <v>431</v>
      </c>
      <c r="F69" s="15" t="s">
        <v>432</v>
      </c>
      <c r="G69" s="14"/>
      <c r="H69" s="14"/>
      <c r="I69" s="23"/>
      <c r="J69" s="14"/>
      <c r="K69" s="14"/>
      <c r="L69" s="17" t="s">
        <v>433</v>
      </c>
    </row>
    <row r="70" spans="2:12" ht="25" customHeight="1" x14ac:dyDescent="0.35">
      <c r="B70" s="26"/>
      <c r="C70" s="20"/>
      <c r="D70" s="14"/>
      <c r="E70" s="14"/>
      <c r="F70" s="15"/>
      <c r="G70" s="14"/>
      <c r="H70" s="14"/>
      <c r="I70" s="23"/>
      <c r="J70" s="14"/>
      <c r="K70" s="14"/>
      <c r="L70" s="14"/>
    </row>
    <row r="71" spans="2:12" ht="25" customHeight="1" x14ac:dyDescent="0.35">
      <c r="B71" s="122">
        <v>45434</v>
      </c>
      <c r="C71" s="19">
        <v>1</v>
      </c>
      <c r="D71" s="5"/>
      <c r="E71" s="24"/>
      <c r="F71" s="58" t="s">
        <v>435</v>
      </c>
      <c r="G71" s="24"/>
      <c r="H71" s="24"/>
      <c r="I71" s="47"/>
      <c r="J71" s="14"/>
      <c r="K71" s="14"/>
      <c r="L71" s="196"/>
    </row>
    <row r="72" spans="2:12" ht="37" customHeight="1" x14ac:dyDescent="0.35">
      <c r="B72" s="122"/>
      <c r="C72" s="19">
        <v>2</v>
      </c>
      <c r="D72" s="5" t="s">
        <v>52</v>
      </c>
      <c r="E72" s="24" t="s">
        <v>135</v>
      </c>
      <c r="F72" s="58" t="s">
        <v>439</v>
      </c>
      <c r="G72" s="24" t="s">
        <v>18</v>
      </c>
      <c r="H72" s="24" t="s">
        <v>111</v>
      </c>
      <c r="I72" s="47"/>
      <c r="J72" s="14"/>
      <c r="K72" s="14"/>
      <c r="L72" s="196" t="s">
        <v>440</v>
      </c>
    </row>
    <row r="73" spans="2:12" ht="37" customHeight="1" x14ac:dyDescent="0.35">
      <c r="B73" s="122"/>
      <c r="C73" s="19">
        <v>3</v>
      </c>
      <c r="D73" s="5" t="s">
        <v>89</v>
      </c>
      <c r="E73" s="24" t="s">
        <v>26</v>
      </c>
      <c r="F73" s="58" t="s">
        <v>441</v>
      </c>
      <c r="G73" s="24" t="s">
        <v>43</v>
      </c>
      <c r="H73" s="24" t="s">
        <v>442</v>
      </c>
      <c r="I73" s="47"/>
      <c r="J73" s="14"/>
      <c r="K73" s="14"/>
      <c r="L73" s="196"/>
    </row>
    <row r="74" spans="2:12" s="133" customFormat="1" ht="25" customHeight="1" x14ac:dyDescent="0.35">
      <c r="B74" s="197">
        <v>45435</v>
      </c>
      <c r="C74" s="198"/>
      <c r="D74" s="203"/>
      <c r="E74" s="199" t="s">
        <v>190</v>
      </c>
      <c r="F74" s="200" t="s">
        <v>436</v>
      </c>
      <c r="G74" s="199"/>
      <c r="H74" s="199"/>
      <c r="I74" s="23"/>
      <c r="J74" s="201"/>
      <c r="K74" s="201"/>
      <c r="L74" s="199"/>
    </row>
    <row r="75" spans="2:12" s="133" customFormat="1" ht="24" customHeight="1" x14ac:dyDescent="0.35">
      <c r="B75" s="197">
        <v>45436</v>
      </c>
      <c r="C75" s="198"/>
      <c r="D75" s="203"/>
      <c r="E75" s="199" t="s">
        <v>190</v>
      </c>
      <c r="F75" s="200" t="s">
        <v>437</v>
      </c>
      <c r="G75" s="199"/>
      <c r="H75" s="199"/>
      <c r="I75" s="47"/>
      <c r="J75" s="201"/>
      <c r="K75" s="201"/>
      <c r="L75" s="202"/>
    </row>
    <row r="76" spans="2:12" s="3" customFormat="1" ht="21.5" customHeight="1" x14ac:dyDescent="0.35">
      <c r="B76" s="288" t="s">
        <v>59</v>
      </c>
      <c r="C76" s="288"/>
      <c r="D76" s="288"/>
      <c r="E76" s="288"/>
      <c r="F76" s="288"/>
      <c r="G76" s="288"/>
      <c r="H76" s="288"/>
      <c r="I76" s="288"/>
      <c r="J76" s="288"/>
      <c r="K76" s="288"/>
      <c r="L76" s="290"/>
    </row>
    <row r="77" spans="2:12" ht="43.5" x14ac:dyDescent="0.35">
      <c r="B77" s="314">
        <v>45527</v>
      </c>
      <c r="C77" s="20">
        <v>1</v>
      </c>
      <c r="D77" s="14" t="s">
        <v>52</v>
      </c>
      <c r="E77" s="14" t="s">
        <v>14</v>
      </c>
      <c r="F77" s="15" t="s">
        <v>438</v>
      </c>
      <c r="G77" s="14"/>
      <c r="H77" s="14"/>
      <c r="I77" s="23"/>
      <c r="J77" s="14"/>
      <c r="K77" s="14"/>
      <c r="L77" s="15" t="s">
        <v>433</v>
      </c>
    </row>
    <row r="78" spans="2:12" ht="33" customHeight="1" x14ac:dyDescent="0.35">
      <c r="B78" s="315"/>
      <c r="C78" s="20">
        <v>2</v>
      </c>
      <c r="D78" s="14" t="s">
        <v>52</v>
      </c>
      <c r="E78" s="14" t="s">
        <v>277</v>
      </c>
      <c r="F78" s="15" t="s">
        <v>444</v>
      </c>
      <c r="G78" s="14"/>
      <c r="H78" s="14"/>
      <c r="I78" s="23"/>
      <c r="J78" s="14"/>
      <c r="K78" s="14"/>
      <c r="L78" s="15"/>
    </row>
    <row r="79" spans="2:12" ht="43.5" x14ac:dyDescent="0.35">
      <c r="B79" s="316"/>
      <c r="C79" s="20">
        <v>3</v>
      </c>
      <c r="D79" s="14" t="s">
        <v>52</v>
      </c>
      <c r="E79" s="14" t="s">
        <v>64</v>
      </c>
      <c r="F79" s="15" t="s">
        <v>445</v>
      </c>
      <c r="G79" s="14"/>
      <c r="H79" s="14"/>
      <c r="I79" s="23"/>
      <c r="J79" s="14"/>
      <c r="K79" s="14"/>
      <c r="L79" s="15"/>
    </row>
    <row r="80" spans="2:12" ht="31.5" customHeight="1" x14ac:dyDescent="0.35">
      <c r="B80" s="314">
        <v>45440</v>
      </c>
      <c r="C80" s="20">
        <v>1</v>
      </c>
      <c r="D80" s="14" t="s">
        <v>47</v>
      </c>
      <c r="E80" s="14" t="s">
        <v>50</v>
      </c>
      <c r="F80" s="15" t="s">
        <v>443</v>
      </c>
      <c r="G80" s="14"/>
      <c r="H80" s="14"/>
      <c r="I80" s="23"/>
      <c r="J80" s="14"/>
      <c r="K80" s="14"/>
      <c r="L80" s="14"/>
    </row>
    <row r="81" spans="2:12" ht="29" x14ac:dyDescent="0.35">
      <c r="B81" s="315"/>
      <c r="C81" s="20">
        <v>2</v>
      </c>
      <c r="D81" s="14" t="s">
        <v>29</v>
      </c>
      <c r="E81" s="14" t="s">
        <v>26</v>
      </c>
      <c r="F81" s="15" t="s">
        <v>680</v>
      </c>
      <c r="G81" s="14"/>
      <c r="H81" s="14"/>
      <c r="I81" s="23"/>
      <c r="J81" s="14"/>
      <c r="K81" s="14"/>
      <c r="L81" s="14"/>
    </row>
    <row r="82" spans="2:12" ht="43.5" x14ac:dyDescent="0.35">
      <c r="B82" s="315"/>
      <c r="C82" s="20">
        <v>3</v>
      </c>
      <c r="D82" s="14" t="s">
        <v>24</v>
      </c>
      <c r="E82" s="14" t="s">
        <v>681</v>
      </c>
      <c r="F82" s="15" t="s">
        <v>682</v>
      </c>
      <c r="G82" s="14"/>
      <c r="H82" s="14"/>
      <c r="I82" s="23"/>
      <c r="J82" s="14"/>
      <c r="K82" s="14"/>
      <c r="L82" s="14"/>
    </row>
    <row r="83" spans="2:12" ht="47.5" customHeight="1" x14ac:dyDescent="0.35">
      <c r="B83" s="314">
        <v>45531</v>
      </c>
      <c r="C83" s="20">
        <v>1</v>
      </c>
      <c r="D83" s="14" t="s">
        <v>24</v>
      </c>
      <c r="E83" s="14" t="s">
        <v>57</v>
      </c>
      <c r="F83" s="15" t="s">
        <v>683</v>
      </c>
      <c r="G83" s="14"/>
      <c r="H83" s="14"/>
      <c r="I83" s="23"/>
      <c r="J83" s="14"/>
      <c r="K83" s="14"/>
      <c r="L83" s="14"/>
    </row>
    <row r="84" spans="2:12" ht="47.5" customHeight="1" x14ac:dyDescent="0.35">
      <c r="B84" s="315"/>
      <c r="C84" s="20">
        <v>2</v>
      </c>
      <c r="D84" s="14" t="s">
        <v>52</v>
      </c>
      <c r="E84" s="14" t="s">
        <v>8</v>
      </c>
      <c r="F84" s="224" t="s">
        <v>685</v>
      </c>
      <c r="G84" s="14"/>
      <c r="H84" s="14"/>
      <c r="I84" s="23"/>
      <c r="J84" s="14"/>
      <c r="K84" s="14"/>
      <c r="L84" s="14"/>
    </row>
    <row r="85" spans="2:12" ht="43.5" x14ac:dyDescent="0.35">
      <c r="B85" s="315"/>
      <c r="C85" s="20">
        <v>3</v>
      </c>
      <c r="D85" s="14" t="s">
        <v>52</v>
      </c>
      <c r="E85" s="14" t="s">
        <v>76</v>
      </c>
      <c r="F85" s="15" t="s">
        <v>686</v>
      </c>
      <c r="G85" s="14"/>
      <c r="H85" s="14"/>
      <c r="I85" s="23"/>
      <c r="J85" s="14"/>
      <c r="K85" s="14"/>
      <c r="L85" s="14"/>
    </row>
    <row r="86" spans="2:12" ht="29" x14ac:dyDescent="0.35">
      <c r="B86" s="315"/>
      <c r="C86" s="20">
        <v>4</v>
      </c>
      <c r="D86" s="14" t="s">
        <v>52</v>
      </c>
      <c r="E86" s="14" t="s">
        <v>665</v>
      </c>
      <c r="F86" s="15" t="s">
        <v>687</v>
      </c>
      <c r="G86" s="14"/>
      <c r="H86" s="14"/>
      <c r="I86" s="23"/>
      <c r="J86" s="14"/>
      <c r="K86" s="14"/>
      <c r="L86" s="14"/>
    </row>
    <row r="87" spans="2:12" ht="72.5" x14ac:dyDescent="0.35">
      <c r="B87" s="315"/>
      <c r="C87" s="20">
        <v>5</v>
      </c>
      <c r="D87" s="14" t="s">
        <v>52</v>
      </c>
      <c r="E87" s="14" t="s">
        <v>8</v>
      </c>
      <c r="F87" s="15" t="s">
        <v>688</v>
      </c>
      <c r="G87" s="14"/>
      <c r="H87" s="14"/>
      <c r="I87" s="23"/>
      <c r="J87" s="14"/>
      <c r="K87" s="14"/>
      <c r="L87" s="14"/>
    </row>
    <row r="88" spans="2:12" ht="49.5" customHeight="1" x14ac:dyDescent="0.35">
      <c r="B88" s="315"/>
      <c r="C88" s="20">
        <v>6</v>
      </c>
      <c r="D88" s="14" t="s">
        <v>449</v>
      </c>
      <c r="E88" s="14" t="s">
        <v>48</v>
      </c>
      <c r="F88" s="15" t="s">
        <v>689</v>
      </c>
      <c r="G88" s="14" t="s">
        <v>11</v>
      </c>
      <c r="H88" s="14" t="s">
        <v>79</v>
      </c>
      <c r="I88" s="23"/>
      <c r="J88" s="14"/>
      <c r="K88" s="14"/>
      <c r="L88" s="14"/>
    </row>
    <row r="89" spans="2:12" ht="33.5" customHeight="1" x14ac:dyDescent="0.35">
      <c r="B89" s="315"/>
      <c r="C89" s="20">
        <v>1</v>
      </c>
      <c r="D89" s="14" t="s">
        <v>24</v>
      </c>
      <c r="E89" s="14" t="s">
        <v>50</v>
      </c>
      <c r="F89" s="15" t="s">
        <v>690</v>
      </c>
      <c r="G89" s="14"/>
      <c r="H89" s="14"/>
      <c r="I89" s="23"/>
      <c r="J89" s="14"/>
      <c r="K89" s="14"/>
      <c r="L89" s="14"/>
    </row>
    <row r="90" spans="2:12" ht="37" customHeight="1" x14ac:dyDescent="0.35">
      <c r="B90" s="315"/>
      <c r="C90" s="20">
        <v>2</v>
      </c>
      <c r="D90" s="14" t="s">
        <v>52</v>
      </c>
      <c r="E90" s="14" t="s">
        <v>691</v>
      </c>
      <c r="F90" s="15" t="s">
        <v>692</v>
      </c>
      <c r="G90" s="14"/>
      <c r="H90" s="14"/>
      <c r="I90" s="23"/>
      <c r="J90" s="14"/>
      <c r="K90" s="14"/>
      <c r="L90" s="14"/>
    </row>
    <row r="91" spans="2:12" ht="33.5" customHeight="1" x14ac:dyDescent="0.35">
      <c r="B91" s="315">
        <v>45442</v>
      </c>
      <c r="C91" s="20">
        <v>3</v>
      </c>
      <c r="D91" s="14" t="s">
        <v>52</v>
      </c>
      <c r="E91" s="14" t="s">
        <v>48</v>
      </c>
      <c r="F91" s="15" t="s">
        <v>695</v>
      </c>
      <c r="G91" s="14" t="s">
        <v>448</v>
      </c>
      <c r="H91" s="14"/>
      <c r="I91" s="23"/>
      <c r="J91" s="14"/>
      <c r="K91" s="14"/>
      <c r="L91" s="17"/>
    </row>
    <row r="92" spans="2:12" ht="76" customHeight="1" x14ac:dyDescent="0.35">
      <c r="B92" s="315"/>
      <c r="C92" s="20">
        <v>4</v>
      </c>
      <c r="D92" s="14" t="s">
        <v>52</v>
      </c>
      <c r="E92" s="14" t="s">
        <v>60</v>
      </c>
      <c r="F92" s="15" t="s">
        <v>693</v>
      </c>
      <c r="G92" s="14"/>
      <c r="H92" s="14"/>
      <c r="I92" s="23"/>
      <c r="J92" s="14"/>
      <c r="K92" s="14"/>
      <c r="L92" s="17"/>
    </row>
    <row r="93" spans="2:12" ht="35.5" customHeight="1" x14ac:dyDescent="0.35">
      <c r="B93" s="315"/>
      <c r="C93" s="20">
        <v>5</v>
      </c>
      <c r="D93" s="14" t="s">
        <v>52</v>
      </c>
      <c r="E93" s="14" t="s">
        <v>60</v>
      </c>
      <c r="F93" s="15" t="s">
        <v>694</v>
      </c>
      <c r="G93" s="14"/>
      <c r="H93" s="14"/>
      <c r="I93" s="23"/>
      <c r="J93" s="14"/>
      <c r="K93" s="14"/>
      <c r="L93" s="17"/>
    </row>
    <row r="94" spans="2:12" ht="56.5" customHeight="1" x14ac:dyDescent="0.35">
      <c r="B94" s="316"/>
      <c r="C94" s="20">
        <v>6</v>
      </c>
      <c r="D94" s="14" t="s">
        <v>52</v>
      </c>
      <c r="E94" s="14" t="s">
        <v>48</v>
      </c>
      <c r="F94" s="15" t="s">
        <v>696</v>
      </c>
      <c r="G94" s="14" t="s">
        <v>11</v>
      </c>
      <c r="H94" s="14" t="s">
        <v>31</v>
      </c>
      <c r="I94" s="23"/>
      <c r="J94" s="14"/>
      <c r="K94" s="14"/>
      <c r="L94" s="17"/>
    </row>
    <row r="95" spans="2:12" s="10" customFormat="1" ht="110.5" customHeight="1" x14ac:dyDescent="0.35">
      <c r="B95" s="319">
        <v>45533</v>
      </c>
      <c r="C95" s="5">
        <v>1</v>
      </c>
      <c r="D95" s="5" t="s">
        <v>52</v>
      </c>
      <c r="E95" s="5" t="s">
        <v>82</v>
      </c>
      <c r="F95" s="124" t="s">
        <v>698</v>
      </c>
      <c r="G95" s="5" t="s">
        <v>18</v>
      </c>
      <c r="H95" s="5" t="s">
        <v>51</v>
      </c>
      <c r="I95" s="5"/>
      <c r="J95" s="24"/>
      <c r="K95" s="24"/>
      <c r="L95" s="5"/>
    </row>
    <row r="96" spans="2:12" s="10" customFormat="1" ht="78" customHeight="1" x14ac:dyDescent="0.35">
      <c r="B96" s="314"/>
      <c r="C96" s="39">
        <v>1</v>
      </c>
      <c r="D96" s="39" t="s">
        <v>52</v>
      </c>
      <c r="E96" s="39" t="s">
        <v>82</v>
      </c>
      <c r="F96" s="76" t="s">
        <v>697</v>
      </c>
      <c r="G96" s="39" t="s">
        <v>18</v>
      </c>
      <c r="H96" s="39" t="s">
        <v>41</v>
      </c>
      <c r="I96" s="39"/>
      <c r="J96" s="196"/>
      <c r="K96" s="196"/>
      <c r="L96" s="39"/>
    </row>
    <row r="97" spans="2:12" s="10" customFormat="1" ht="29" x14ac:dyDescent="0.35">
      <c r="B97" s="233">
        <v>45535</v>
      </c>
      <c r="C97" s="5">
        <v>1</v>
      </c>
      <c r="D97" s="5" t="s">
        <v>24</v>
      </c>
      <c r="E97" s="5" t="s">
        <v>8</v>
      </c>
      <c r="F97" s="6" t="s">
        <v>699</v>
      </c>
      <c r="G97" s="5"/>
      <c r="H97" s="5"/>
      <c r="I97" s="5"/>
      <c r="J97" s="24"/>
      <c r="K97" s="24"/>
      <c r="L97" s="5"/>
    </row>
    <row r="98" spans="2:12" s="10" customFormat="1" ht="72.5" x14ac:dyDescent="0.35">
      <c r="B98" s="233"/>
      <c r="C98" s="5">
        <v>2</v>
      </c>
      <c r="D98" s="5" t="s">
        <v>24</v>
      </c>
      <c r="E98" s="5" t="s">
        <v>8</v>
      </c>
      <c r="F98" s="6" t="s">
        <v>700</v>
      </c>
      <c r="G98" s="5"/>
      <c r="H98" s="5"/>
      <c r="I98" s="5"/>
      <c r="J98" s="24"/>
      <c r="K98" s="24"/>
      <c r="L98" s="5"/>
    </row>
    <row r="99" spans="2:12" s="10" customFormat="1" x14ac:dyDescent="0.35">
      <c r="B99" s="233"/>
      <c r="C99" s="5"/>
      <c r="D99" s="5"/>
      <c r="E99" s="5"/>
      <c r="F99" s="5"/>
      <c r="G99" s="5"/>
      <c r="H99" s="5"/>
      <c r="I99" s="5"/>
      <c r="J99" s="24"/>
      <c r="K99" s="24"/>
      <c r="L99" s="5"/>
    </row>
    <row r="100" spans="2:12" x14ac:dyDescent="0.35">
      <c r="B100" s="220"/>
    </row>
    <row r="101" spans="2:12" x14ac:dyDescent="0.35">
      <c r="B101" s="220"/>
    </row>
  </sheetData>
  <mergeCells count="30">
    <mergeCell ref="B83:B90"/>
    <mergeCell ref="B91:B94"/>
    <mergeCell ref="B95:B96"/>
    <mergeCell ref="B56:L56"/>
    <mergeCell ref="D10:D11"/>
    <mergeCell ref="E10:E11"/>
    <mergeCell ref="F10:F11"/>
    <mergeCell ref="L10:L11"/>
    <mergeCell ref="B10:B15"/>
    <mergeCell ref="C10:C11"/>
    <mergeCell ref="B16:L16"/>
    <mergeCell ref="B17:B21"/>
    <mergeCell ref="B22:B23"/>
    <mergeCell ref="B34:L34"/>
    <mergeCell ref="B76:L76"/>
    <mergeCell ref="B77:B79"/>
    <mergeCell ref="B80:B82"/>
    <mergeCell ref="H5:H6"/>
    <mergeCell ref="I5:K5"/>
    <mergeCell ref="L5:L6"/>
    <mergeCell ref="B7:L7"/>
    <mergeCell ref="B5:B6"/>
    <mergeCell ref="C5:C6"/>
    <mergeCell ref="D5:D6"/>
    <mergeCell ref="E5:E6"/>
    <mergeCell ref="F5:F6"/>
    <mergeCell ref="G5:G6"/>
    <mergeCell ref="B57:B65"/>
    <mergeCell ref="B35:B39"/>
    <mergeCell ref="B28:B3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B28A-B67F-472C-A1D7-19BC1FB3710C}">
  <sheetPr>
    <tabColor rgb="FF00B0F0"/>
  </sheetPr>
  <dimension ref="B1:M101"/>
  <sheetViews>
    <sheetView showGridLines="0" zoomScale="85" zoomScaleNormal="85" workbookViewId="0">
      <pane xSplit="4" ySplit="7" topLeftCell="E8" activePane="bottomRight" state="frozen"/>
      <selection activeCell="E98" sqref="E98"/>
      <selection pane="topRight" activeCell="E98" sqref="E98"/>
      <selection pane="bottomLeft" activeCell="E98" sqref="E98"/>
      <selection pane="bottomRight" activeCell="B8" sqref="B8"/>
    </sheetView>
  </sheetViews>
  <sheetFormatPr defaultRowHeight="14.5" x14ac:dyDescent="0.35"/>
  <cols>
    <col min="1" max="1" width="4.26953125" customWidth="1"/>
    <col min="2" max="2" width="25" style="2" customWidth="1"/>
    <col min="3" max="3" width="5.08984375" customWidth="1"/>
    <col min="4" max="4" width="9.36328125" style="2" customWidth="1"/>
    <col min="5" max="5" width="11.36328125" style="2" customWidth="1"/>
    <col min="6" max="6" width="43.453125" style="2" customWidth="1"/>
    <col min="7" max="7" width="17.1796875" style="2" customWidth="1"/>
    <col min="8" max="8" width="27.26953125" style="2" customWidth="1"/>
    <col min="9" max="9" width="11.36328125" style="2" customWidth="1"/>
    <col min="10" max="11" width="11.36328125" customWidth="1"/>
    <col min="12" max="12" width="50.1796875" style="2" customWidth="1"/>
  </cols>
  <sheetData>
    <row r="1" spans="2:13" x14ac:dyDescent="0.35">
      <c r="B1" s="18" t="s">
        <v>2</v>
      </c>
      <c r="C1" s="18"/>
    </row>
    <row r="2" spans="2:13" x14ac:dyDescent="0.35">
      <c r="B2" s="18" t="s">
        <v>19</v>
      </c>
      <c r="C2" s="1"/>
    </row>
    <row r="3" spans="2:13" x14ac:dyDescent="0.35">
      <c r="B3" s="18" t="s">
        <v>185</v>
      </c>
      <c r="C3" s="1"/>
    </row>
    <row r="5" spans="2:13" s="3" customFormat="1" ht="17" customHeight="1" x14ac:dyDescent="0.35">
      <c r="B5" s="296" t="s">
        <v>3</v>
      </c>
      <c r="C5" s="291" t="s">
        <v>4</v>
      </c>
      <c r="D5" s="296" t="s">
        <v>5</v>
      </c>
      <c r="E5" s="291" t="s">
        <v>7</v>
      </c>
      <c r="F5" s="291" t="s">
        <v>6</v>
      </c>
      <c r="G5" s="291" t="s">
        <v>9</v>
      </c>
      <c r="H5" s="291" t="s">
        <v>10</v>
      </c>
      <c r="I5" s="293" t="s">
        <v>3</v>
      </c>
      <c r="J5" s="294"/>
      <c r="K5" s="295"/>
      <c r="L5" s="296" t="s">
        <v>0</v>
      </c>
    </row>
    <row r="6" spans="2:13" s="3" customFormat="1" ht="21.5" customHeight="1" x14ac:dyDescent="0.35">
      <c r="B6" s="296"/>
      <c r="C6" s="292"/>
      <c r="D6" s="296"/>
      <c r="E6" s="292"/>
      <c r="F6" s="292"/>
      <c r="G6" s="292"/>
      <c r="H6" s="292"/>
      <c r="I6" s="4" t="s">
        <v>11</v>
      </c>
      <c r="J6" s="4" t="s">
        <v>12</v>
      </c>
      <c r="K6" s="4" t="s">
        <v>13</v>
      </c>
      <c r="L6" s="296"/>
    </row>
    <row r="7" spans="2:13" s="3" customFormat="1" ht="21.5" customHeight="1" x14ac:dyDescent="0.35">
      <c r="B7" s="288" t="s">
        <v>15</v>
      </c>
      <c r="C7" s="288"/>
      <c r="D7" s="288"/>
      <c r="E7" s="288"/>
      <c r="F7" s="288"/>
      <c r="G7" s="288"/>
      <c r="H7" s="288"/>
      <c r="I7" s="288"/>
      <c r="J7" s="288"/>
      <c r="K7" s="288"/>
      <c r="L7" s="290"/>
    </row>
    <row r="8" spans="2:13" s="10" customFormat="1" ht="43.5" x14ac:dyDescent="0.35">
      <c r="B8" s="101">
        <v>45383</v>
      </c>
      <c r="C8" s="38">
        <v>1</v>
      </c>
      <c r="D8" s="39" t="s">
        <v>146</v>
      </c>
      <c r="E8" s="39" t="s">
        <v>141</v>
      </c>
      <c r="F8" s="40" t="s">
        <v>282</v>
      </c>
      <c r="G8" s="41" t="s">
        <v>43</v>
      </c>
      <c r="H8" s="41" t="s">
        <v>64</v>
      </c>
      <c r="I8" s="96"/>
      <c r="J8" s="96"/>
      <c r="K8" s="47"/>
      <c r="L8" s="76" t="s">
        <v>117</v>
      </c>
    </row>
    <row r="9" spans="2:13" s="10" customFormat="1" ht="43.5" x14ac:dyDescent="0.35">
      <c r="B9" s="26"/>
      <c r="C9" s="38">
        <v>2</v>
      </c>
      <c r="D9" s="39" t="s">
        <v>183</v>
      </c>
      <c r="E9" s="39" t="s">
        <v>14</v>
      </c>
      <c r="F9" s="40" t="s">
        <v>283</v>
      </c>
      <c r="G9" s="41" t="s">
        <v>18</v>
      </c>
      <c r="H9" s="41" t="s">
        <v>284</v>
      </c>
      <c r="I9" s="47"/>
      <c r="J9" s="8"/>
      <c r="K9" s="8"/>
      <c r="L9" s="75" t="s">
        <v>58</v>
      </c>
    </row>
    <row r="10" spans="2:13" s="10" customFormat="1" ht="43.5" x14ac:dyDescent="0.35">
      <c r="B10" s="26"/>
      <c r="C10" s="38">
        <v>3</v>
      </c>
      <c r="D10" s="39" t="s">
        <v>89</v>
      </c>
      <c r="E10" s="39" t="s">
        <v>14</v>
      </c>
      <c r="F10" s="40" t="s">
        <v>285</v>
      </c>
      <c r="G10" s="33" t="s">
        <v>43</v>
      </c>
      <c r="H10" s="41" t="s">
        <v>38</v>
      </c>
      <c r="I10" s="47"/>
      <c r="J10" s="8"/>
      <c r="K10" s="8"/>
      <c r="L10" s="75"/>
    </row>
    <row r="11" spans="2:13" s="10" customFormat="1" ht="58" x14ac:dyDescent="0.35">
      <c r="B11" s="26"/>
      <c r="C11" s="38">
        <v>4</v>
      </c>
      <c r="D11" s="39" t="s">
        <v>89</v>
      </c>
      <c r="E11" s="39" t="s">
        <v>8</v>
      </c>
      <c r="F11" s="40" t="s">
        <v>286</v>
      </c>
      <c r="G11" s="33" t="s">
        <v>11</v>
      </c>
      <c r="H11" s="41" t="s">
        <v>287</v>
      </c>
      <c r="I11" s="47"/>
      <c r="J11" s="8"/>
      <c r="K11" s="8"/>
      <c r="L11" s="75"/>
    </row>
    <row r="12" spans="2:13" s="10" customFormat="1" ht="29" x14ac:dyDescent="0.35">
      <c r="B12" s="26"/>
      <c r="C12" s="38">
        <v>5</v>
      </c>
      <c r="D12" s="39" t="s">
        <v>52</v>
      </c>
      <c r="E12" s="39" t="s">
        <v>50</v>
      </c>
      <c r="F12" s="40" t="s">
        <v>288</v>
      </c>
      <c r="G12" s="33"/>
      <c r="H12" s="41"/>
      <c r="I12" s="47"/>
      <c r="J12" s="8"/>
      <c r="K12" s="8"/>
      <c r="L12" s="75"/>
    </row>
    <row r="13" spans="2:13" s="10" customFormat="1" ht="29" x14ac:dyDescent="0.35">
      <c r="B13" s="26"/>
      <c r="C13" s="38">
        <v>6</v>
      </c>
      <c r="D13" s="39" t="s">
        <v>52</v>
      </c>
      <c r="E13" s="39" t="s">
        <v>28</v>
      </c>
      <c r="F13" s="40" t="s">
        <v>289</v>
      </c>
      <c r="G13" s="33" t="s">
        <v>18</v>
      </c>
      <c r="H13" s="41" t="s">
        <v>112</v>
      </c>
      <c r="I13" s="47"/>
      <c r="J13" s="8"/>
      <c r="K13" s="8"/>
      <c r="L13" s="75"/>
    </row>
    <row r="14" spans="2:13" s="10" customFormat="1" ht="61.5" customHeight="1" x14ac:dyDescent="0.35">
      <c r="B14" s="26"/>
      <c r="C14" s="38">
        <v>7</v>
      </c>
      <c r="D14" s="39" t="s">
        <v>52</v>
      </c>
      <c r="E14" s="39" t="s">
        <v>48</v>
      </c>
      <c r="F14" s="94" t="s">
        <v>290</v>
      </c>
      <c r="G14" s="33" t="s">
        <v>293</v>
      </c>
      <c r="H14" s="41"/>
      <c r="I14" s="47"/>
      <c r="J14" s="8"/>
      <c r="K14" s="8"/>
      <c r="L14" s="75"/>
    </row>
    <row r="15" spans="2:13" s="10" customFormat="1" ht="29" x14ac:dyDescent="0.35">
      <c r="B15" s="65"/>
      <c r="C15" s="38">
        <v>8</v>
      </c>
      <c r="D15" s="39" t="s">
        <v>89</v>
      </c>
      <c r="E15" s="39" t="s">
        <v>14</v>
      </c>
      <c r="F15" s="94" t="s">
        <v>291</v>
      </c>
      <c r="G15" s="33" t="s">
        <v>18</v>
      </c>
      <c r="H15" s="41" t="s">
        <v>284</v>
      </c>
      <c r="I15" s="41"/>
      <c r="J15" s="47"/>
      <c r="K15" s="8"/>
      <c r="L15" s="8"/>
      <c r="M15" s="75"/>
    </row>
    <row r="16" spans="2:13" s="10" customFormat="1" ht="29" x14ac:dyDescent="0.35">
      <c r="B16" s="314">
        <v>45384</v>
      </c>
      <c r="C16" s="19">
        <v>1</v>
      </c>
      <c r="D16" s="5" t="s">
        <v>52</v>
      </c>
      <c r="E16" s="5" t="s">
        <v>50</v>
      </c>
      <c r="F16" s="40" t="s">
        <v>292</v>
      </c>
      <c r="G16" s="33" t="s">
        <v>293</v>
      </c>
      <c r="H16" s="33"/>
      <c r="I16" s="33"/>
      <c r="J16" s="47"/>
      <c r="K16" s="8"/>
      <c r="L16" s="76" t="s">
        <v>184</v>
      </c>
      <c r="M16" s="120"/>
    </row>
    <row r="17" spans="2:13" s="10" customFormat="1" ht="29" x14ac:dyDescent="0.35">
      <c r="B17" s="315"/>
      <c r="C17" s="19">
        <v>2</v>
      </c>
      <c r="D17" s="5" t="s">
        <v>52</v>
      </c>
      <c r="E17" s="5" t="s">
        <v>81</v>
      </c>
      <c r="F17" s="58" t="s">
        <v>294</v>
      </c>
      <c r="G17" s="33" t="s">
        <v>18</v>
      </c>
      <c r="H17" s="33" t="s">
        <v>75</v>
      </c>
      <c r="I17" s="33"/>
      <c r="J17" s="47"/>
      <c r="K17" s="8"/>
      <c r="L17" s="76" t="s">
        <v>295</v>
      </c>
      <c r="M17" s="120"/>
    </row>
    <row r="18" spans="2:13" s="10" customFormat="1" ht="39.5" customHeight="1" x14ac:dyDescent="0.35">
      <c r="B18" s="315"/>
      <c r="C18" s="19">
        <v>3</v>
      </c>
      <c r="D18" s="5" t="s">
        <v>24</v>
      </c>
      <c r="E18" s="5" t="s">
        <v>33</v>
      </c>
      <c r="F18" s="159" t="s">
        <v>296</v>
      </c>
      <c r="G18" s="33" t="s">
        <v>43</v>
      </c>
      <c r="H18" s="33" t="s">
        <v>281</v>
      </c>
      <c r="I18" s="33"/>
      <c r="J18" s="47"/>
      <c r="K18" s="8"/>
      <c r="L18" s="76" t="s">
        <v>297</v>
      </c>
      <c r="M18" s="120"/>
    </row>
    <row r="19" spans="2:13" s="10" customFormat="1" ht="39.5" customHeight="1" x14ac:dyDescent="0.35">
      <c r="B19" s="316"/>
      <c r="C19" s="19">
        <v>4</v>
      </c>
      <c r="D19" s="5" t="s">
        <v>52</v>
      </c>
      <c r="E19" s="5" t="s">
        <v>27</v>
      </c>
      <c r="F19" s="58" t="s">
        <v>298</v>
      </c>
      <c r="G19" s="33"/>
      <c r="H19" s="33"/>
      <c r="I19" s="33"/>
      <c r="J19" s="47"/>
      <c r="K19" s="8"/>
      <c r="L19" s="76"/>
      <c r="M19" s="120"/>
    </row>
    <row r="20" spans="2:13" s="10" customFormat="1" ht="43.5" x14ac:dyDescent="0.35">
      <c r="B20" s="314">
        <v>45385</v>
      </c>
      <c r="C20" s="19">
        <v>1</v>
      </c>
      <c r="D20" s="5" t="s">
        <v>29</v>
      </c>
      <c r="E20" s="5" t="s">
        <v>14</v>
      </c>
      <c r="F20" s="58" t="s">
        <v>299</v>
      </c>
      <c r="G20" s="33" t="s">
        <v>43</v>
      </c>
      <c r="H20" s="33" t="s">
        <v>38</v>
      </c>
      <c r="I20" s="33"/>
      <c r="J20" s="47"/>
      <c r="K20" s="8"/>
      <c r="L20" s="76"/>
      <c r="M20" s="120"/>
    </row>
    <row r="21" spans="2:13" s="10" customFormat="1" ht="43.5" x14ac:dyDescent="0.35">
      <c r="B21" s="315"/>
      <c r="C21" s="19">
        <v>2</v>
      </c>
      <c r="D21" s="5" t="s">
        <v>52</v>
      </c>
      <c r="E21" s="5" t="s">
        <v>65</v>
      </c>
      <c r="F21" s="66" t="s">
        <v>301</v>
      </c>
      <c r="G21" s="33"/>
      <c r="H21" s="33"/>
      <c r="I21" s="33"/>
      <c r="J21" s="47"/>
      <c r="K21" s="8"/>
      <c r="L21" s="76"/>
      <c r="M21" s="120"/>
    </row>
    <row r="22" spans="2:13" s="10" customFormat="1" ht="39.5" customHeight="1" x14ac:dyDescent="0.35">
      <c r="B22" s="315"/>
      <c r="C22" s="19">
        <v>3</v>
      </c>
      <c r="D22" s="5" t="s">
        <v>71</v>
      </c>
      <c r="E22" s="5" t="s">
        <v>50</v>
      </c>
      <c r="F22" s="66" t="s">
        <v>300</v>
      </c>
      <c r="G22" s="33"/>
      <c r="H22" s="33"/>
      <c r="I22" s="33"/>
      <c r="J22" s="47"/>
      <c r="K22" s="8"/>
      <c r="L22" s="76"/>
      <c r="M22" s="120"/>
    </row>
    <row r="23" spans="2:13" s="10" customFormat="1" ht="59.5" customHeight="1" x14ac:dyDescent="0.35">
      <c r="B23" s="315"/>
      <c r="C23" s="19">
        <v>4</v>
      </c>
      <c r="D23" s="5" t="s">
        <v>89</v>
      </c>
      <c r="E23" s="5" t="s">
        <v>14</v>
      </c>
      <c r="F23" s="159" t="s">
        <v>302</v>
      </c>
      <c r="G23" s="33" t="s">
        <v>43</v>
      </c>
      <c r="H23" s="33" t="s">
        <v>38</v>
      </c>
      <c r="I23" s="33"/>
      <c r="J23" s="47"/>
      <c r="K23" s="8"/>
      <c r="L23" s="76"/>
      <c r="M23" s="120"/>
    </row>
    <row r="24" spans="2:13" s="10" customFormat="1" ht="43.5" x14ac:dyDescent="0.35">
      <c r="B24" s="316"/>
      <c r="C24" s="19">
        <v>5</v>
      </c>
      <c r="D24" s="5" t="s">
        <v>24</v>
      </c>
      <c r="E24" s="5" t="s">
        <v>14</v>
      </c>
      <c r="F24" s="58" t="s">
        <v>303</v>
      </c>
      <c r="G24" s="33" t="s">
        <v>43</v>
      </c>
      <c r="H24" s="33" t="s">
        <v>144</v>
      </c>
      <c r="I24" s="33"/>
      <c r="J24" s="47"/>
      <c r="K24" s="8"/>
      <c r="L24" s="8"/>
      <c r="M24" s="120"/>
    </row>
    <row r="25" spans="2:13" s="10" customFormat="1" ht="47" customHeight="1" x14ac:dyDescent="0.35">
      <c r="B25" s="314">
        <v>45386</v>
      </c>
      <c r="C25" s="19">
        <v>1</v>
      </c>
      <c r="D25" s="5" t="s">
        <v>52</v>
      </c>
      <c r="E25" s="33" t="s">
        <v>195</v>
      </c>
      <c r="F25" s="58" t="s">
        <v>304</v>
      </c>
      <c r="G25" s="33"/>
      <c r="H25" s="33"/>
      <c r="I25" s="33"/>
      <c r="J25" s="47"/>
      <c r="K25" s="8"/>
      <c r="L25" s="8"/>
      <c r="M25" s="120"/>
    </row>
    <row r="26" spans="2:13" s="10" customFormat="1" ht="29" x14ac:dyDescent="0.35">
      <c r="B26" s="315"/>
      <c r="C26" s="19">
        <v>2</v>
      </c>
      <c r="D26" s="5" t="s">
        <v>24</v>
      </c>
      <c r="E26" s="5" t="s">
        <v>97</v>
      </c>
      <c r="F26" s="58" t="s">
        <v>305</v>
      </c>
      <c r="G26" s="33" t="s">
        <v>18</v>
      </c>
      <c r="H26" s="33" t="s">
        <v>112</v>
      </c>
      <c r="I26" s="33"/>
      <c r="J26" s="47"/>
      <c r="K26" s="8"/>
      <c r="L26" s="8"/>
      <c r="M26" s="120"/>
    </row>
    <row r="27" spans="2:13" s="10" customFormat="1" ht="24.5" customHeight="1" x14ac:dyDescent="0.35">
      <c r="B27" s="316"/>
      <c r="C27" s="19">
        <v>3</v>
      </c>
      <c r="D27" s="5" t="s">
        <v>24</v>
      </c>
      <c r="E27" s="5" t="s">
        <v>14</v>
      </c>
      <c r="F27" s="58" t="s">
        <v>306</v>
      </c>
      <c r="G27" s="33" t="s">
        <v>18</v>
      </c>
      <c r="H27" s="33" t="s">
        <v>41</v>
      </c>
      <c r="I27" s="33"/>
      <c r="J27" s="47"/>
      <c r="K27" s="8"/>
      <c r="L27" s="8"/>
      <c r="M27" s="120"/>
    </row>
    <row r="28" spans="2:13" s="10" customFormat="1" ht="58" x14ac:dyDescent="0.35">
      <c r="B28" s="314">
        <v>45387</v>
      </c>
      <c r="C28" s="19">
        <v>1</v>
      </c>
      <c r="D28" s="5" t="s">
        <v>29</v>
      </c>
      <c r="E28" s="5" t="s">
        <v>50</v>
      </c>
      <c r="F28" s="58" t="s">
        <v>307</v>
      </c>
      <c r="G28" s="33" t="s">
        <v>308</v>
      </c>
      <c r="H28" s="33"/>
      <c r="I28" s="33"/>
      <c r="J28" s="47"/>
      <c r="K28" s="8"/>
      <c r="L28" s="8"/>
      <c r="M28" s="120"/>
    </row>
    <row r="29" spans="2:13" s="10" customFormat="1" ht="29" x14ac:dyDescent="0.35">
      <c r="B29" s="315"/>
      <c r="C29" s="19">
        <v>2</v>
      </c>
      <c r="D29" s="5" t="s">
        <v>24</v>
      </c>
      <c r="E29" s="5" t="s">
        <v>309</v>
      </c>
      <c r="F29" s="58" t="s">
        <v>310</v>
      </c>
      <c r="G29" s="33"/>
      <c r="H29" s="33"/>
      <c r="I29" s="33"/>
      <c r="J29" s="47"/>
      <c r="K29" s="8"/>
      <c r="L29" s="8"/>
      <c r="M29" s="120"/>
    </row>
    <row r="30" spans="2:13" s="10" customFormat="1" ht="29" x14ac:dyDescent="0.35">
      <c r="B30" s="315"/>
      <c r="C30" s="19">
        <v>3</v>
      </c>
      <c r="D30" s="5" t="s">
        <v>52</v>
      </c>
      <c r="E30" s="5" t="s">
        <v>60</v>
      </c>
      <c r="F30" s="58" t="s">
        <v>311</v>
      </c>
      <c r="G30" s="33"/>
      <c r="H30" s="33"/>
      <c r="I30" s="33"/>
      <c r="J30" s="47"/>
      <c r="K30" s="8"/>
      <c r="L30" s="8"/>
      <c r="M30" s="120"/>
    </row>
    <row r="31" spans="2:13" s="10" customFormat="1" ht="43.5" x14ac:dyDescent="0.35">
      <c r="B31" s="316"/>
      <c r="C31" s="19">
        <v>4</v>
      </c>
      <c r="D31" s="5" t="s">
        <v>52</v>
      </c>
      <c r="E31" s="33" t="s">
        <v>92</v>
      </c>
      <c r="F31" s="58" t="s">
        <v>312</v>
      </c>
      <c r="G31" s="33" t="s">
        <v>43</v>
      </c>
      <c r="H31" s="33" t="s">
        <v>313</v>
      </c>
      <c r="I31" s="33"/>
      <c r="J31" s="47"/>
      <c r="K31" s="8"/>
      <c r="L31" s="8"/>
      <c r="M31" s="120"/>
    </row>
    <row r="32" spans="2:13" s="10" customFormat="1" ht="21" customHeight="1" x14ac:dyDescent="0.35">
      <c r="B32" s="288" t="s">
        <v>45</v>
      </c>
      <c r="C32" s="288"/>
      <c r="D32" s="288"/>
      <c r="E32" s="288"/>
      <c r="F32" s="288"/>
      <c r="G32" s="288"/>
      <c r="H32" s="288"/>
      <c r="I32" s="288"/>
      <c r="J32" s="288"/>
      <c r="K32" s="288"/>
      <c r="L32" s="290"/>
      <c r="M32" s="120"/>
    </row>
    <row r="33" spans="2:12" s="10" customFormat="1" ht="31" customHeight="1" x14ac:dyDescent="0.35">
      <c r="B33" s="101">
        <v>45388</v>
      </c>
      <c r="C33" s="38">
        <v>1</v>
      </c>
      <c r="D33" s="39" t="s">
        <v>29</v>
      </c>
      <c r="E33" s="39" t="s">
        <v>14</v>
      </c>
      <c r="F33" s="94" t="s">
        <v>314</v>
      </c>
      <c r="G33" s="41" t="s">
        <v>18</v>
      </c>
      <c r="H33" s="41" t="s">
        <v>138</v>
      </c>
      <c r="I33" s="47"/>
      <c r="J33" s="8"/>
      <c r="K33" s="8"/>
      <c r="L33" s="75"/>
    </row>
    <row r="34" spans="2:12" s="10" customFormat="1" ht="35" customHeight="1" x14ac:dyDescent="0.35">
      <c r="B34" s="101">
        <v>45389</v>
      </c>
      <c r="C34" s="38">
        <v>1</v>
      </c>
      <c r="D34" s="39" t="s">
        <v>89</v>
      </c>
      <c r="E34" s="39" t="s">
        <v>14</v>
      </c>
      <c r="F34" s="94" t="s">
        <v>315</v>
      </c>
      <c r="G34" s="41" t="s">
        <v>18</v>
      </c>
      <c r="H34" s="41" t="s">
        <v>41</v>
      </c>
      <c r="I34" s="47"/>
      <c r="J34" s="8"/>
      <c r="K34" s="8"/>
      <c r="L34" s="75"/>
    </row>
    <row r="35" spans="2:12" s="10" customFormat="1" ht="43.5" x14ac:dyDescent="0.35">
      <c r="B35" s="314">
        <v>45390</v>
      </c>
      <c r="C35" s="38">
        <v>1</v>
      </c>
      <c r="D35" s="39" t="s">
        <v>24</v>
      </c>
      <c r="E35" s="39" t="s">
        <v>14</v>
      </c>
      <c r="F35" s="94" t="s">
        <v>316</v>
      </c>
      <c r="G35" s="41" t="s">
        <v>43</v>
      </c>
      <c r="H35" s="41" t="s">
        <v>155</v>
      </c>
      <c r="I35" s="47"/>
      <c r="J35" s="8"/>
      <c r="K35" s="8"/>
      <c r="L35" s="76"/>
    </row>
    <row r="36" spans="2:12" s="10" customFormat="1" ht="50.5" customHeight="1" x14ac:dyDescent="0.35">
      <c r="B36" s="316"/>
      <c r="C36" s="38">
        <v>2</v>
      </c>
      <c r="D36" s="39" t="s">
        <v>52</v>
      </c>
      <c r="E36" s="41" t="s">
        <v>92</v>
      </c>
      <c r="F36" s="40" t="s">
        <v>317</v>
      </c>
      <c r="G36" s="41" t="s">
        <v>43</v>
      </c>
      <c r="H36" s="41" t="s">
        <v>313</v>
      </c>
      <c r="I36" s="47"/>
      <c r="J36" s="8"/>
      <c r="K36" s="8"/>
      <c r="L36" s="76"/>
    </row>
    <row r="37" spans="2:12" s="10" customFormat="1" ht="47" customHeight="1" x14ac:dyDescent="0.35">
      <c r="B37" s="285">
        <v>45391</v>
      </c>
      <c r="C37" s="19">
        <v>1</v>
      </c>
      <c r="D37" s="39" t="s">
        <v>52</v>
      </c>
      <c r="E37" s="41" t="s">
        <v>92</v>
      </c>
      <c r="F37" s="40" t="s">
        <v>318</v>
      </c>
      <c r="G37" s="41"/>
      <c r="H37" s="41"/>
      <c r="I37" s="7"/>
      <c r="J37" s="8"/>
      <c r="K37" s="8"/>
      <c r="L37" s="6"/>
    </row>
    <row r="38" spans="2:12" s="10" customFormat="1" ht="58.5" customHeight="1" x14ac:dyDescent="0.35">
      <c r="B38" s="286"/>
      <c r="C38" s="19">
        <v>2</v>
      </c>
      <c r="D38" s="11" t="s">
        <v>24</v>
      </c>
      <c r="E38" s="39" t="s">
        <v>8</v>
      </c>
      <c r="F38" s="94" t="s">
        <v>319</v>
      </c>
      <c r="G38" s="41" t="s">
        <v>11</v>
      </c>
      <c r="H38" s="33" t="s">
        <v>31</v>
      </c>
      <c r="I38" s="5"/>
      <c r="J38" s="8"/>
      <c r="K38" s="8"/>
      <c r="L38" s="6"/>
    </row>
    <row r="39" spans="2:12" s="10" customFormat="1" ht="39" customHeight="1" x14ac:dyDescent="0.35">
      <c r="B39" s="286"/>
      <c r="C39" s="19">
        <v>3</v>
      </c>
      <c r="D39" s="11" t="s">
        <v>52</v>
      </c>
      <c r="E39" s="41" t="s">
        <v>92</v>
      </c>
      <c r="F39" s="94" t="s">
        <v>320</v>
      </c>
      <c r="G39" s="41" t="s">
        <v>43</v>
      </c>
      <c r="H39" s="33" t="s">
        <v>62</v>
      </c>
      <c r="I39" s="5"/>
      <c r="J39" s="8"/>
      <c r="K39" s="8"/>
      <c r="L39" s="6"/>
    </row>
    <row r="40" spans="2:12" s="10" customFormat="1" ht="43.5" x14ac:dyDescent="0.35">
      <c r="B40" s="287"/>
      <c r="C40" s="19">
        <v>4</v>
      </c>
      <c r="D40" s="95" t="s">
        <v>24</v>
      </c>
      <c r="E40" s="39" t="s">
        <v>14</v>
      </c>
      <c r="F40" s="94" t="s">
        <v>321</v>
      </c>
      <c r="G40" s="41" t="s">
        <v>43</v>
      </c>
      <c r="H40" s="33" t="s">
        <v>79</v>
      </c>
      <c r="I40" s="5"/>
      <c r="J40" s="8"/>
      <c r="K40" s="8"/>
      <c r="L40" s="6"/>
    </row>
    <row r="41" spans="2:12" s="10" customFormat="1" ht="39" customHeight="1" x14ac:dyDescent="0.35">
      <c r="B41" s="105">
        <v>45401</v>
      </c>
      <c r="C41" s="19">
        <v>1</v>
      </c>
      <c r="D41" s="11" t="s">
        <v>71</v>
      </c>
      <c r="E41" s="39" t="s">
        <v>50</v>
      </c>
      <c r="F41" s="94" t="s">
        <v>322</v>
      </c>
      <c r="G41" s="41"/>
      <c r="H41" s="33"/>
      <c r="I41" s="5"/>
      <c r="J41" s="8"/>
      <c r="K41" s="8"/>
      <c r="L41" s="6"/>
    </row>
    <row r="42" spans="2:12" s="10" customFormat="1" ht="43.5" x14ac:dyDescent="0.35">
      <c r="B42" s="105"/>
      <c r="C42" s="19">
        <v>2</v>
      </c>
      <c r="D42" s="11" t="s">
        <v>79</v>
      </c>
      <c r="E42" s="39" t="s">
        <v>97</v>
      </c>
      <c r="F42" s="94" t="s">
        <v>323</v>
      </c>
      <c r="G42" s="41"/>
      <c r="H42" s="33"/>
      <c r="I42" s="5"/>
      <c r="J42" s="8"/>
      <c r="K42" s="8"/>
      <c r="L42" s="6"/>
    </row>
    <row r="43" spans="2:12" s="10" customFormat="1" ht="58" x14ac:dyDescent="0.35">
      <c r="B43" s="104"/>
      <c r="C43" s="19">
        <v>3</v>
      </c>
      <c r="D43" s="11" t="s">
        <v>52</v>
      </c>
      <c r="E43" s="39" t="s">
        <v>128</v>
      </c>
      <c r="F43" s="94" t="s">
        <v>324</v>
      </c>
      <c r="G43" s="41" t="s">
        <v>18</v>
      </c>
      <c r="H43" s="33" t="s">
        <v>132</v>
      </c>
      <c r="I43" s="5"/>
      <c r="J43" s="8"/>
      <c r="K43" s="8"/>
      <c r="L43" s="6"/>
    </row>
    <row r="44" spans="2:12" s="10" customFormat="1" ht="20" customHeight="1" x14ac:dyDescent="0.35">
      <c r="B44" s="288" t="s">
        <v>63</v>
      </c>
      <c r="C44" s="288"/>
      <c r="D44" s="288"/>
      <c r="E44" s="288"/>
      <c r="F44" s="288"/>
      <c r="G44" s="288"/>
      <c r="H44" s="288"/>
      <c r="I44" s="288"/>
      <c r="J44" s="288"/>
      <c r="K44" s="288"/>
      <c r="L44" s="290"/>
    </row>
    <row r="45" spans="2:12" s="10" customFormat="1" ht="48" customHeight="1" x14ac:dyDescent="0.35">
      <c r="B45" s="105">
        <v>45404</v>
      </c>
      <c r="C45" s="19">
        <v>1</v>
      </c>
      <c r="D45" s="11" t="s">
        <v>29</v>
      </c>
      <c r="E45" s="39" t="s">
        <v>48</v>
      </c>
      <c r="F45" s="94" t="s">
        <v>325</v>
      </c>
      <c r="G45" s="41" t="s">
        <v>18</v>
      </c>
      <c r="H45" s="33" t="s">
        <v>138</v>
      </c>
      <c r="I45" s="5"/>
      <c r="J45" s="8"/>
      <c r="K45" s="8"/>
      <c r="L45" s="6" t="s">
        <v>326</v>
      </c>
    </row>
    <row r="46" spans="2:12" s="10" customFormat="1" ht="43.5" x14ac:dyDescent="0.35">
      <c r="B46" s="105"/>
      <c r="C46" s="19">
        <v>2</v>
      </c>
      <c r="D46" s="11" t="s">
        <v>52</v>
      </c>
      <c r="E46" s="39" t="s">
        <v>37</v>
      </c>
      <c r="F46" s="94" t="s">
        <v>327</v>
      </c>
      <c r="G46" s="41"/>
      <c r="H46" s="33"/>
      <c r="I46" s="5"/>
      <c r="J46" s="8"/>
      <c r="K46" s="8"/>
      <c r="L46" s="6"/>
    </row>
    <row r="47" spans="2:12" s="10" customFormat="1" ht="39" customHeight="1" x14ac:dyDescent="0.35">
      <c r="B47" s="104"/>
      <c r="C47" s="19">
        <v>3</v>
      </c>
      <c r="D47" s="11" t="s">
        <v>52</v>
      </c>
      <c r="E47" s="39" t="s">
        <v>97</v>
      </c>
      <c r="F47" s="94" t="s">
        <v>298</v>
      </c>
      <c r="G47" s="41"/>
      <c r="H47" s="33"/>
      <c r="I47" s="5"/>
      <c r="J47" s="8"/>
      <c r="K47" s="8"/>
      <c r="L47" s="6"/>
    </row>
    <row r="48" spans="2:12" s="10" customFormat="1" ht="34.5" customHeight="1" x14ac:dyDescent="0.35">
      <c r="B48" s="285">
        <v>45405</v>
      </c>
      <c r="C48" s="19">
        <v>1</v>
      </c>
      <c r="D48" s="11" t="s">
        <v>47</v>
      </c>
      <c r="E48" s="39" t="s">
        <v>50</v>
      </c>
      <c r="F48" s="94" t="s">
        <v>328</v>
      </c>
      <c r="G48" s="41"/>
      <c r="H48" s="33"/>
      <c r="I48" s="5"/>
      <c r="J48" s="8"/>
      <c r="K48" s="8"/>
      <c r="L48" s="6"/>
    </row>
    <row r="49" spans="2:12" s="10" customFormat="1" ht="39" customHeight="1" x14ac:dyDescent="0.35">
      <c r="B49" s="286"/>
      <c r="C49" s="19">
        <v>2</v>
      </c>
      <c r="D49" s="11" t="s">
        <v>24</v>
      </c>
      <c r="E49" s="41" t="s">
        <v>97</v>
      </c>
      <c r="F49" s="94" t="s">
        <v>329</v>
      </c>
      <c r="G49" s="41"/>
      <c r="H49" s="33"/>
      <c r="I49" s="5"/>
      <c r="J49" s="8"/>
      <c r="K49" s="8"/>
      <c r="L49" s="6"/>
    </row>
    <row r="50" spans="2:12" s="10" customFormat="1" ht="43.5" x14ac:dyDescent="0.35">
      <c r="B50" s="286"/>
      <c r="C50" s="19">
        <v>3</v>
      </c>
      <c r="D50" s="11" t="s">
        <v>52</v>
      </c>
      <c r="E50" s="39" t="s">
        <v>48</v>
      </c>
      <c r="F50" s="94" t="s">
        <v>330</v>
      </c>
      <c r="G50" s="41"/>
      <c r="H50" s="33"/>
      <c r="I50" s="5"/>
      <c r="J50" s="8"/>
      <c r="K50" s="8"/>
      <c r="L50" s="6"/>
    </row>
    <row r="51" spans="2:12" s="10" customFormat="1" ht="49" customHeight="1" x14ac:dyDescent="0.35">
      <c r="B51" s="286"/>
      <c r="C51" s="19">
        <v>4</v>
      </c>
      <c r="D51" s="11" t="s">
        <v>52</v>
      </c>
      <c r="E51" s="39" t="s">
        <v>8</v>
      </c>
      <c r="F51" s="94" t="s">
        <v>331</v>
      </c>
      <c r="G51" s="41" t="s">
        <v>18</v>
      </c>
      <c r="H51" s="33" t="s">
        <v>41</v>
      </c>
      <c r="I51" s="5"/>
      <c r="J51" s="8"/>
      <c r="K51" s="8"/>
      <c r="L51" s="6"/>
    </row>
    <row r="52" spans="2:12" s="10" customFormat="1" ht="39" customHeight="1" x14ac:dyDescent="0.35">
      <c r="B52" s="286"/>
      <c r="C52" s="19">
        <v>5</v>
      </c>
      <c r="D52" s="11" t="s">
        <v>24</v>
      </c>
      <c r="E52" s="5" t="s">
        <v>50</v>
      </c>
      <c r="F52" s="58" t="s">
        <v>332</v>
      </c>
      <c r="G52" s="41" t="s">
        <v>333</v>
      </c>
      <c r="H52" s="33"/>
      <c r="I52" s="5"/>
      <c r="J52" s="8"/>
      <c r="K52" s="8"/>
      <c r="L52" s="6"/>
    </row>
    <row r="53" spans="2:12" s="10" customFormat="1" ht="47.5" customHeight="1" x14ac:dyDescent="0.35">
      <c r="B53" s="287"/>
      <c r="C53" s="19">
        <v>6</v>
      </c>
      <c r="D53" s="11" t="s">
        <v>52</v>
      </c>
      <c r="E53" s="5" t="s">
        <v>115</v>
      </c>
      <c r="F53" s="58" t="s">
        <v>334</v>
      </c>
      <c r="G53" s="33" t="s">
        <v>43</v>
      </c>
      <c r="H53" s="33" t="s">
        <v>64</v>
      </c>
      <c r="I53" s="5"/>
      <c r="J53" s="8"/>
      <c r="K53" s="8"/>
      <c r="L53" s="6"/>
    </row>
    <row r="54" spans="2:12" s="10" customFormat="1" ht="51" customHeight="1" x14ac:dyDescent="0.35">
      <c r="B54" s="285">
        <v>45406</v>
      </c>
      <c r="C54" s="19">
        <v>1</v>
      </c>
      <c r="D54" s="11" t="s">
        <v>52</v>
      </c>
      <c r="E54" s="5" t="s">
        <v>50</v>
      </c>
      <c r="F54" s="58" t="s">
        <v>335</v>
      </c>
      <c r="G54" s="33"/>
      <c r="H54" s="33"/>
      <c r="I54" s="5"/>
      <c r="J54" s="8"/>
      <c r="K54" s="8"/>
      <c r="L54" s="6"/>
    </row>
    <row r="55" spans="2:12" s="10" customFormat="1" ht="49" customHeight="1" x14ac:dyDescent="0.35">
      <c r="B55" s="286"/>
      <c r="C55" s="19">
        <v>2</v>
      </c>
      <c r="D55" s="11" t="s">
        <v>52</v>
      </c>
      <c r="E55" s="33" t="s">
        <v>336</v>
      </c>
      <c r="F55" s="58" t="s">
        <v>337</v>
      </c>
      <c r="G55" s="33"/>
      <c r="H55" s="33"/>
      <c r="I55" s="5"/>
      <c r="J55" s="8"/>
      <c r="K55" s="8"/>
      <c r="L55" s="6"/>
    </row>
    <row r="56" spans="2:12" s="10" customFormat="1" ht="47" customHeight="1" x14ac:dyDescent="0.35">
      <c r="B56" s="286"/>
      <c r="C56" s="19">
        <v>3</v>
      </c>
      <c r="D56" s="11" t="s">
        <v>129</v>
      </c>
      <c r="E56" s="5" t="s">
        <v>42</v>
      </c>
      <c r="F56" s="58" t="s">
        <v>338</v>
      </c>
      <c r="G56" s="33" t="s">
        <v>43</v>
      </c>
      <c r="H56" s="33" t="s">
        <v>31</v>
      </c>
      <c r="I56" s="5"/>
      <c r="J56" s="8"/>
      <c r="K56" s="8"/>
      <c r="L56" s="6"/>
    </row>
    <row r="57" spans="2:12" s="10" customFormat="1" ht="58" x14ac:dyDescent="0.35">
      <c r="B57" s="286"/>
      <c r="C57" s="19">
        <v>4</v>
      </c>
      <c r="D57" s="11" t="s">
        <v>89</v>
      </c>
      <c r="E57" s="5" t="s">
        <v>14</v>
      </c>
      <c r="F57" s="58" t="s">
        <v>339</v>
      </c>
      <c r="G57" s="33" t="s">
        <v>43</v>
      </c>
      <c r="H57" s="33" t="s">
        <v>340</v>
      </c>
      <c r="I57" s="5"/>
      <c r="J57" s="8"/>
      <c r="K57" s="8"/>
      <c r="L57" s="6"/>
    </row>
    <row r="58" spans="2:12" s="10" customFormat="1" ht="58" x14ac:dyDescent="0.35">
      <c r="B58" s="287"/>
      <c r="C58" s="38">
        <v>5</v>
      </c>
      <c r="D58" s="11" t="s">
        <v>29</v>
      </c>
      <c r="E58" s="5" t="s">
        <v>26</v>
      </c>
      <c r="F58" s="58" t="s">
        <v>342</v>
      </c>
      <c r="G58" s="41"/>
      <c r="H58" s="33"/>
      <c r="I58" s="47"/>
      <c r="J58" s="8"/>
      <c r="K58" s="8"/>
      <c r="L58" s="75"/>
    </row>
    <row r="59" spans="2:12" s="10" customFormat="1" ht="29" x14ac:dyDescent="0.35">
      <c r="B59" s="80">
        <v>45407</v>
      </c>
      <c r="C59" s="19">
        <v>1</v>
      </c>
      <c r="D59" s="5" t="s">
        <v>24</v>
      </c>
      <c r="E59" s="5" t="s">
        <v>50</v>
      </c>
      <c r="F59" s="6" t="s">
        <v>341</v>
      </c>
      <c r="G59" s="33"/>
      <c r="H59" s="33"/>
      <c r="I59" s="7"/>
      <c r="J59" s="8"/>
      <c r="K59" s="8"/>
      <c r="L59" s="9"/>
    </row>
    <row r="60" spans="2:12" s="10" customFormat="1" ht="47.5" customHeight="1" x14ac:dyDescent="0.35">
      <c r="B60" s="26"/>
      <c r="C60" s="38">
        <v>2</v>
      </c>
      <c r="D60" s="39" t="s">
        <v>24</v>
      </c>
      <c r="E60" s="39" t="s">
        <v>97</v>
      </c>
      <c r="F60" s="40" t="s">
        <v>345</v>
      </c>
      <c r="G60" s="41" t="s">
        <v>18</v>
      </c>
      <c r="H60" s="41" t="s">
        <v>51</v>
      </c>
      <c r="I60" s="7"/>
      <c r="J60" s="44"/>
      <c r="K60" s="44"/>
      <c r="L60" s="45"/>
    </row>
    <row r="61" spans="2:12" s="10" customFormat="1" ht="35.5" customHeight="1" x14ac:dyDescent="0.35">
      <c r="B61" s="65"/>
      <c r="C61" s="38">
        <v>3</v>
      </c>
      <c r="D61" s="39" t="s">
        <v>29</v>
      </c>
      <c r="E61" s="41" t="s">
        <v>50</v>
      </c>
      <c r="F61" s="40" t="s">
        <v>343</v>
      </c>
      <c r="G61" s="41" t="s">
        <v>344</v>
      </c>
      <c r="H61" s="41"/>
      <c r="I61" s="7"/>
      <c r="J61" s="44"/>
      <c r="K61" s="44"/>
      <c r="L61" s="45"/>
    </row>
    <row r="62" spans="2:12" s="10" customFormat="1" ht="61.5" customHeight="1" x14ac:dyDescent="0.35">
      <c r="B62" s="314">
        <v>45408</v>
      </c>
      <c r="C62" s="38">
        <v>1</v>
      </c>
      <c r="D62" s="39" t="s">
        <v>52</v>
      </c>
      <c r="E62" s="39" t="s">
        <v>48</v>
      </c>
      <c r="F62" s="40" t="s">
        <v>346</v>
      </c>
      <c r="G62" s="41" t="s">
        <v>43</v>
      </c>
      <c r="H62" s="41" t="s">
        <v>31</v>
      </c>
      <c r="I62" s="7"/>
      <c r="J62" s="44"/>
      <c r="K62" s="44"/>
      <c r="L62" s="45"/>
    </row>
    <row r="63" spans="2:12" s="10" customFormat="1" ht="39" customHeight="1" x14ac:dyDescent="0.35">
      <c r="B63" s="315"/>
      <c r="C63" s="38">
        <v>2</v>
      </c>
      <c r="D63" s="39" t="s">
        <v>52</v>
      </c>
      <c r="E63" s="39" t="s">
        <v>50</v>
      </c>
      <c r="F63" s="40" t="s">
        <v>347</v>
      </c>
      <c r="G63" s="41" t="s">
        <v>348</v>
      </c>
      <c r="H63" s="41"/>
      <c r="I63" s="7"/>
      <c r="J63" s="44"/>
      <c r="K63" s="44"/>
      <c r="L63" s="45"/>
    </row>
    <row r="64" spans="2:12" s="10" customFormat="1" ht="46.5" customHeight="1" x14ac:dyDescent="0.35">
      <c r="B64" s="315"/>
      <c r="C64" s="38">
        <v>3</v>
      </c>
      <c r="D64" s="39" t="s">
        <v>52</v>
      </c>
      <c r="E64" s="39" t="s">
        <v>8</v>
      </c>
      <c r="F64" s="40" t="s">
        <v>349</v>
      </c>
      <c r="G64" s="41" t="s">
        <v>11</v>
      </c>
      <c r="H64" s="41" t="s">
        <v>31</v>
      </c>
      <c r="I64" s="7"/>
      <c r="J64" s="44"/>
      <c r="K64" s="44"/>
      <c r="L64" s="45"/>
    </row>
    <row r="65" spans="2:12" s="10" customFormat="1" ht="39" customHeight="1" x14ac:dyDescent="0.35">
      <c r="B65" s="315"/>
      <c r="C65" s="38">
        <v>4</v>
      </c>
      <c r="D65" s="39" t="s">
        <v>52</v>
      </c>
      <c r="E65" s="41" t="s">
        <v>48</v>
      </c>
      <c r="F65" s="40" t="s">
        <v>350</v>
      </c>
      <c r="G65" s="41" t="s">
        <v>18</v>
      </c>
      <c r="H65" s="41" t="s">
        <v>284</v>
      </c>
      <c r="I65" s="7"/>
      <c r="J65" s="44"/>
      <c r="K65" s="44"/>
      <c r="L65" s="45"/>
    </row>
    <row r="66" spans="2:12" s="10" customFormat="1" ht="31.5" customHeight="1" x14ac:dyDescent="0.35">
      <c r="B66" s="316"/>
      <c r="C66" s="38">
        <v>5</v>
      </c>
      <c r="D66" s="5" t="s">
        <v>52</v>
      </c>
      <c r="E66" s="93" t="s">
        <v>14</v>
      </c>
      <c r="F66" s="76" t="s">
        <v>351</v>
      </c>
      <c r="G66" s="41" t="s">
        <v>18</v>
      </c>
      <c r="H66" s="41" t="s">
        <v>41</v>
      </c>
      <c r="I66" s="7"/>
      <c r="J66" s="44"/>
      <c r="K66" s="44"/>
      <c r="L66" s="76"/>
    </row>
    <row r="67" spans="2:12" s="10" customFormat="1" ht="21" customHeight="1" x14ac:dyDescent="0.35">
      <c r="B67" s="288" t="s">
        <v>53</v>
      </c>
      <c r="C67" s="288"/>
      <c r="D67" s="288"/>
      <c r="E67" s="288"/>
      <c r="F67" s="288"/>
      <c r="G67" s="288"/>
      <c r="H67" s="288"/>
      <c r="I67" s="288"/>
      <c r="J67" s="288"/>
      <c r="K67" s="288"/>
      <c r="L67" s="290"/>
    </row>
    <row r="68" spans="2:12" s="10" customFormat="1" ht="53.5" customHeight="1" x14ac:dyDescent="0.35">
      <c r="B68" s="314">
        <v>45411</v>
      </c>
      <c r="C68" s="38">
        <v>1</v>
      </c>
      <c r="D68" s="39" t="s">
        <v>52</v>
      </c>
      <c r="E68" s="39" t="s">
        <v>37</v>
      </c>
      <c r="F68" s="40" t="s">
        <v>352</v>
      </c>
      <c r="G68" s="41"/>
      <c r="H68" s="41"/>
      <c r="I68" s="47"/>
      <c r="J68" s="47"/>
      <c r="K68" s="44"/>
      <c r="L68" s="45"/>
    </row>
    <row r="69" spans="2:12" s="10" customFormat="1" ht="43.5" x14ac:dyDescent="0.35">
      <c r="B69" s="315"/>
      <c r="C69" s="38">
        <v>2</v>
      </c>
      <c r="D69" s="39" t="s">
        <v>52</v>
      </c>
      <c r="E69" s="39" t="s">
        <v>8</v>
      </c>
      <c r="F69" s="40" t="s">
        <v>353</v>
      </c>
      <c r="G69" s="41" t="s">
        <v>11</v>
      </c>
      <c r="H69" s="41" t="s">
        <v>31</v>
      </c>
      <c r="I69" s="47"/>
      <c r="J69" s="47"/>
      <c r="K69" s="44"/>
      <c r="L69" s="45"/>
    </row>
    <row r="70" spans="2:12" s="10" customFormat="1" ht="32.5" customHeight="1" x14ac:dyDescent="0.35">
      <c r="B70" s="315"/>
      <c r="C70" s="38">
        <v>3</v>
      </c>
      <c r="D70" s="39" t="s">
        <v>24</v>
      </c>
      <c r="E70" s="39" t="s">
        <v>97</v>
      </c>
      <c r="F70" s="40" t="s">
        <v>354</v>
      </c>
      <c r="G70" s="41" t="s">
        <v>18</v>
      </c>
      <c r="H70" s="41" t="s">
        <v>112</v>
      </c>
      <c r="I70" s="47"/>
      <c r="J70" s="47"/>
      <c r="K70" s="44"/>
      <c r="L70" s="45"/>
    </row>
    <row r="71" spans="2:12" s="10" customFormat="1" ht="37" customHeight="1" x14ac:dyDescent="0.35">
      <c r="B71" s="316"/>
      <c r="C71" s="38">
        <v>4</v>
      </c>
      <c r="D71" s="39" t="s">
        <v>52</v>
      </c>
      <c r="E71" s="41" t="s">
        <v>196</v>
      </c>
      <c r="F71" s="40" t="s">
        <v>355</v>
      </c>
      <c r="G71" s="41"/>
      <c r="H71" s="41"/>
      <c r="I71" s="47"/>
      <c r="J71" s="47"/>
      <c r="K71" s="44"/>
      <c r="L71" s="45"/>
    </row>
    <row r="72" spans="2:12" s="10" customFormat="1" ht="43.5" x14ac:dyDescent="0.35">
      <c r="B72" s="314">
        <v>45412</v>
      </c>
      <c r="C72" s="38">
        <v>1</v>
      </c>
      <c r="D72" s="42" t="s">
        <v>24</v>
      </c>
      <c r="E72" s="93" t="s">
        <v>14</v>
      </c>
      <c r="F72" s="152" t="s">
        <v>356</v>
      </c>
      <c r="G72" s="41"/>
      <c r="H72" s="41"/>
      <c r="I72" s="5"/>
      <c r="J72" s="44"/>
      <c r="K72" s="44"/>
      <c r="L72" s="45"/>
    </row>
    <row r="73" spans="2:12" s="10" customFormat="1" ht="35" customHeight="1" x14ac:dyDescent="0.35">
      <c r="B73" s="315"/>
      <c r="C73" s="38">
        <v>2</v>
      </c>
      <c r="D73" s="42" t="s">
        <v>129</v>
      </c>
      <c r="E73" s="93" t="s">
        <v>50</v>
      </c>
      <c r="F73" s="152" t="s">
        <v>357</v>
      </c>
      <c r="G73" s="41"/>
      <c r="H73" s="41"/>
      <c r="I73" s="5"/>
      <c r="J73" s="44"/>
      <c r="K73" s="44"/>
      <c r="L73" s="45"/>
    </row>
    <row r="74" spans="2:12" s="10" customFormat="1" ht="35" customHeight="1" x14ac:dyDescent="0.35">
      <c r="B74" s="315"/>
      <c r="C74" s="19">
        <v>3</v>
      </c>
      <c r="D74" s="11" t="s">
        <v>52</v>
      </c>
      <c r="E74" s="95" t="s">
        <v>42</v>
      </c>
      <c r="F74" s="152" t="s">
        <v>358</v>
      </c>
      <c r="G74" s="41"/>
      <c r="H74" s="41"/>
      <c r="I74" s="5"/>
      <c r="J74" s="44"/>
      <c r="K74" s="44"/>
      <c r="L74" s="45"/>
    </row>
    <row r="75" spans="2:12" s="10" customFormat="1" ht="39.5" customHeight="1" x14ac:dyDescent="0.35">
      <c r="B75" s="316"/>
      <c r="C75" s="19">
        <v>4</v>
      </c>
      <c r="D75" s="11" t="s">
        <v>52</v>
      </c>
      <c r="E75" s="95" t="s">
        <v>142</v>
      </c>
      <c r="F75" s="152" t="s">
        <v>359</v>
      </c>
      <c r="G75" s="33"/>
      <c r="H75" s="33"/>
      <c r="I75" s="5"/>
      <c r="J75" s="8"/>
      <c r="K75" s="8"/>
      <c r="L75" s="9"/>
    </row>
    <row r="77" spans="2:12" x14ac:dyDescent="0.35">
      <c r="B77" s="220">
        <v>45527</v>
      </c>
    </row>
    <row r="79" spans="2:12" x14ac:dyDescent="0.35">
      <c r="B79" s="220">
        <v>45530</v>
      </c>
    </row>
    <row r="81" spans="2:6" x14ac:dyDescent="0.35">
      <c r="F81" s="2" t="s">
        <v>680</v>
      </c>
    </row>
    <row r="82" spans="2:6" x14ac:dyDescent="0.35">
      <c r="E82" s="2" t="s">
        <v>681</v>
      </c>
      <c r="F82" s="2" t="s">
        <v>682</v>
      </c>
    </row>
    <row r="83" spans="2:6" x14ac:dyDescent="0.35">
      <c r="B83" s="220">
        <v>45531</v>
      </c>
      <c r="C83">
        <v>1</v>
      </c>
      <c r="D83" s="2" t="s">
        <v>24</v>
      </c>
      <c r="E83" s="2" t="s">
        <v>57</v>
      </c>
      <c r="F83" s="2" t="s">
        <v>683</v>
      </c>
    </row>
    <row r="84" spans="2:6" x14ac:dyDescent="0.35">
      <c r="B84" s="220"/>
      <c r="C84">
        <v>2</v>
      </c>
      <c r="D84" s="2" t="s">
        <v>52</v>
      </c>
      <c r="E84" s="2" t="s">
        <v>8</v>
      </c>
      <c r="F84" s="226" t="s">
        <v>685</v>
      </c>
    </row>
    <row r="85" spans="2:6" x14ac:dyDescent="0.35">
      <c r="B85" s="220"/>
      <c r="C85">
        <v>3</v>
      </c>
      <c r="D85" s="2" t="s">
        <v>52</v>
      </c>
      <c r="E85" s="2" t="s">
        <v>76</v>
      </c>
      <c r="F85" s="2" t="s">
        <v>686</v>
      </c>
    </row>
    <row r="86" spans="2:6" x14ac:dyDescent="0.35">
      <c r="B86" s="220"/>
      <c r="C86">
        <v>4</v>
      </c>
      <c r="D86" s="2" t="s">
        <v>52</v>
      </c>
      <c r="E86" s="2" t="s">
        <v>665</v>
      </c>
      <c r="F86" s="2" t="s">
        <v>687</v>
      </c>
    </row>
    <row r="87" spans="2:6" x14ac:dyDescent="0.35">
      <c r="B87" s="220"/>
      <c r="C87">
        <v>5</v>
      </c>
      <c r="D87" s="2" t="s">
        <v>52</v>
      </c>
      <c r="E87" s="2" t="s">
        <v>8</v>
      </c>
      <c r="F87" s="2" t="s">
        <v>688</v>
      </c>
    </row>
    <row r="88" spans="2:6" ht="49.5" customHeight="1" x14ac:dyDescent="0.35">
      <c r="C88">
        <v>6</v>
      </c>
      <c r="D88" s="2" t="s">
        <v>449</v>
      </c>
      <c r="E88" s="2" t="s">
        <v>48</v>
      </c>
      <c r="F88" s="2" t="s">
        <v>689</v>
      </c>
    </row>
    <row r="89" spans="2:6" ht="33.5" customHeight="1" x14ac:dyDescent="0.35">
      <c r="B89" s="220">
        <v>45532</v>
      </c>
      <c r="C89">
        <v>1</v>
      </c>
      <c r="D89" s="2" t="s">
        <v>24</v>
      </c>
      <c r="E89" s="2" t="s">
        <v>50</v>
      </c>
      <c r="F89" s="2" t="s">
        <v>690</v>
      </c>
    </row>
    <row r="90" spans="2:6" ht="37" customHeight="1" x14ac:dyDescent="0.35">
      <c r="C90">
        <v>2</v>
      </c>
      <c r="D90" s="2" t="s">
        <v>52</v>
      </c>
      <c r="E90" s="2" t="s">
        <v>691</v>
      </c>
      <c r="F90" s="2" t="s">
        <v>692</v>
      </c>
    </row>
    <row r="91" spans="2:6" x14ac:dyDescent="0.35">
      <c r="C91">
        <v>3</v>
      </c>
      <c r="D91" s="2" t="s">
        <v>52</v>
      </c>
      <c r="E91" s="2" t="s">
        <v>48</v>
      </c>
      <c r="F91" s="2" t="s">
        <v>695</v>
      </c>
    </row>
    <row r="92" spans="2:6" x14ac:dyDescent="0.35">
      <c r="C92">
        <v>4</v>
      </c>
      <c r="D92" s="2" t="s">
        <v>52</v>
      </c>
      <c r="E92" s="2" t="s">
        <v>60</v>
      </c>
      <c r="F92" s="2" t="s">
        <v>693</v>
      </c>
    </row>
    <row r="93" spans="2:6" ht="35.5" customHeight="1" x14ac:dyDescent="0.35">
      <c r="C93">
        <v>5</v>
      </c>
      <c r="D93" s="2" t="s">
        <v>52</v>
      </c>
      <c r="E93" s="2" t="s">
        <v>60</v>
      </c>
      <c r="F93" s="2" t="s">
        <v>694</v>
      </c>
    </row>
    <row r="94" spans="2:6" ht="56.5" customHeight="1" x14ac:dyDescent="0.35">
      <c r="C94">
        <v>6</v>
      </c>
      <c r="D94" s="2" t="s">
        <v>52</v>
      </c>
      <c r="E94" s="2" t="s">
        <v>48</v>
      </c>
      <c r="F94" s="2" t="s">
        <v>696</v>
      </c>
    </row>
    <row r="95" spans="2:6" ht="110.5" customHeight="1" x14ac:dyDescent="0.35">
      <c r="B95" s="220">
        <v>45533</v>
      </c>
      <c r="C95">
        <v>1</v>
      </c>
      <c r="D95" s="2" t="s">
        <v>52</v>
      </c>
      <c r="E95" s="2" t="s">
        <v>82</v>
      </c>
      <c r="F95" s="229" t="s">
        <v>698</v>
      </c>
    </row>
    <row r="96" spans="2:6" ht="78" customHeight="1" x14ac:dyDescent="0.35">
      <c r="B96" s="231">
        <v>45534</v>
      </c>
      <c r="C96">
        <v>1</v>
      </c>
      <c r="D96" s="2" t="s">
        <v>52</v>
      </c>
      <c r="E96" s="2" t="s">
        <v>82</v>
      </c>
      <c r="F96" s="229" t="s">
        <v>697</v>
      </c>
    </row>
    <row r="97" spans="2:12" s="10" customFormat="1" ht="29" x14ac:dyDescent="0.35">
      <c r="B97" s="233">
        <v>45535</v>
      </c>
      <c r="C97" s="5">
        <v>1</v>
      </c>
      <c r="D97" s="5" t="s">
        <v>24</v>
      </c>
      <c r="E97" s="5" t="s">
        <v>8</v>
      </c>
      <c r="F97" s="6" t="s">
        <v>699</v>
      </c>
      <c r="G97" s="5"/>
      <c r="H97" s="5"/>
      <c r="I97" s="5"/>
      <c r="J97" s="24"/>
      <c r="K97" s="24"/>
      <c r="L97" s="5"/>
    </row>
    <row r="98" spans="2:12" s="10" customFormat="1" ht="72.5" x14ac:dyDescent="0.35">
      <c r="B98" s="233"/>
      <c r="C98" s="5">
        <v>2</v>
      </c>
      <c r="D98" s="5" t="s">
        <v>24</v>
      </c>
      <c r="E98" s="5" t="s">
        <v>8</v>
      </c>
      <c r="F98" s="6" t="s">
        <v>700</v>
      </c>
      <c r="G98" s="5"/>
      <c r="H98" s="5"/>
      <c r="I98" s="5"/>
      <c r="J98" s="24"/>
      <c r="K98" s="24"/>
      <c r="L98" s="5"/>
    </row>
    <row r="99" spans="2:12" s="10" customFormat="1" x14ac:dyDescent="0.35">
      <c r="B99" s="233"/>
      <c r="C99" s="5"/>
      <c r="D99" s="5"/>
      <c r="E99" s="5"/>
      <c r="F99" s="5"/>
      <c r="G99" s="5"/>
      <c r="H99" s="5"/>
      <c r="I99" s="5"/>
      <c r="J99" s="24"/>
      <c r="K99" s="24"/>
      <c r="L99" s="5"/>
    </row>
    <row r="100" spans="2:12" x14ac:dyDescent="0.35">
      <c r="B100" s="220"/>
    </row>
    <row r="101" spans="2:12" x14ac:dyDescent="0.35">
      <c r="B101" s="220"/>
    </row>
  </sheetData>
  <mergeCells count="24">
    <mergeCell ref="B54:B58"/>
    <mergeCell ref="B67:L67"/>
    <mergeCell ref="B62:B66"/>
    <mergeCell ref="D5:D6"/>
    <mergeCell ref="E5:E6"/>
    <mergeCell ref="B16:B19"/>
    <mergeCell ref="B44:L44"/>
    <mergeCell ref="B48:B53"/>
    <mergeCell ref="B72:B75"/>
    <mergeCell ref="B68:B71"/>
    <mergeCell ref="H5:H6"/>
    <mergeCell ref="I5:K5"/>
    <mergeCell ref="L5:L6"/>
    <mergeCell ref="B7:L7"/>
    <mergeCell ref="B32:L32"/>
    <mergeCell ref="F5:F6"/>
    <mergeCell ref="G5:G6"/>
    <mergeCell ref="B20:B24"/>
    <mergeCell ref="B25:B27"/>
    <mergeCell ref="B28:B31"/>
    <mergeCell ref="B35:B36"/>
    <mergeCell ref="B37:B40"/>
    <mergeCell ref="B5:B6"/>
    <mergeCell ref="C5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F9951-3DA1-4DEA-BDEF-AE86048E95EC}">
  <sheetPr>
    <tabColor rgb="FFE7BFE7"/>
  </sheetPr>
  <dimension ref="A1:L101"/>
  <sheetViews>
    <sheetView showGridLines="0" zoomScale="85" zoomScaleNormal="85" workbookViewId="0">
      <pane xSplit="3" ySplit="7" topLeftCell="D8" activePane="bottomRight" state="frozen"/>
      <selection activeCell="E98" sqref="E98"/>
      <selection pane="topRight" activeCell="E98" sqref="E98"/>
      <selection pane="bottomLeft" activeCell="E98" sqref="E98"/>
      <selection pane="bottomRight" activeCell="E98" sqref="E98"/>
    </sheetView>
  </sheetViews>
  <sheetFormatPr defaultRowHeight="14.5" x14ac:dyDescent="0.35"/>
  <cols>
    <col min="1" max="1" width="29.6328125" style="2" bestFit="1" customWidth="1"/>
    <col min="2" max="2" width="5.08984375" customWidth="1"/>
    <col min="3" max="3" width="9.36328125" style="2" customWidth="1"/>
    <col min="4" max="4" width="11.36328125" style="2" customWidth="1"/>
    <col min="5" max="5" width="43.453125" style="2" customWidth="1"/>
    <col min="6" max="6" width="17.1796875" style="2" customWidth="1"/>
    <col min="7" max="7" width="27.26953125" style="2" customWidth="1"/>
    <col min="8" max="8" width="11.36328125" style="2" customWidth="1"/>
    <col min="9" max="10" width="11.36328125" customWidth="1"/>
    <col min="11" max="11" width="50.1796875" style="2" customWidth="1"/>
  </cols>
  <sheetData>
    <row r="1" spans="1:12" x14ac:dyDescent="0.35">
      <c r="A1" s="18" t="s">
        <v>2</v>
      </c>
      <c r="B1" s="18"/>
    </row>
    <row r="2" spans="1:12" x14ac:dyDescent="0.35">
      <c r="A2" s="18" t="s">
        <v>19</v>
      </c>
      <c r="B2" s="1"/>
    </row>
    <row r="3" spans="1:12" x14ac:dyDescent="0.35">
      <c r="A3" s="18" t="s">
        <v>185</v>
      </c>
      <c r="B3" s="1"/>
    </row>
    <row r="5" spans="1:12" s="3" customFormat="1" ht="17" customHeight="1" x14ac:dyDescent="0.35">
      <c r="A5" s="296" t="s">
        <v>3</v>
      </c>
      <c r="B5" s="291" t="s">
        <v>4</v>
      </c>
      <c r="C5" s="296" t="s">
        <v>5</v>
      </c>
      <c r="D5" s="291" t="s">
        <v>7</v>
      </c>
      <c r="E5" s="291" t="s">
        <v>6</v>
      </c>
      <c r="F5" s="291" t="s">
        <v>9</v>
      </c>
      <c r="G5" s="291" t="s">
        <v>10</v>
      </c>
      <c r="H5" s="293" t="s">
        <v>3</v>
      </c>
      <c r="I5" s="294"/>
      <c r="J5" s="295"/>
      <c r="K5" s="296" t="s">
        <v>0</v>
      </c>
    </row>
    <row r="6" spans="1:12" s="3" customFormat="1" ht="21.5" customHeight="1" x14ac:dyDescent="0.35">
      <c r="A6" s="296"/>
      <c r="B6" s="292"/>
      <c r="C6" s="296"/>
      <c r="D6" s="292"/>
      <c r="E6" s="292"/>
      <c r="F6" s="292"/>
      <c r="G6" s="292"/>
      <c r="H6" s="4" t="s">
        <v>11</v>
      </c>
      <c r="I6" s="4" t="s">
        <v>12</v>
      </c>
      <c r="J6" s="4" t="s">
        <v>13</v>
      </c>
      <c r="K6" s="296"/>
    </row>
    <row r="7" spans="1:12" s="3" customFormat="1" ht="21.5" customHeight="1" x14ac:dyDescent="0.35">
      <c r="A7" s="288" t="s">
        <v>15</v>
      </c>
      <c r="B7" s="288"/>
      <c r="C7" s="288"/>
      <c r="D7" s="288"/>
      <c r="E7" s="288"/>
      <c r="F7" s="288"/>
      <c r="G7" s="288"/>
      <c r="H7" s="288"/>
      <c r="I7" s="288"/>
      <c r="J7" s="288"/>
      <c r="K7" s="290"/>
    </row>
    <row r="8" spans="1:12" s="10" customFormat="1" ht="58" x14ac:dyDescent="0.35">
      <c r="A8" s="101">
        <v>45352</v>
      </c>
      <c r="B8" s="38">
        <v>1</v>
      </c>
      <c r="C8" s="39" t="s">
        <v>52</v>
      </c>
      <c r="D8" s="39" t="s">
        <v>8</v>
      </c>
      <c r="E8" s="40" t="s">
        <v>198</v>
      </c>
      <c r="F8" s="41" t="s">
        <v>11</v>
      </c>
      <c r="G8" s="41" t="s">
        <v>31</v>
      </c>
      <c r="H8" s="96"/>
      <c r="I8" s="96"/>
      <c r="J8" s="47"/>
      <c r="K8" s="76"/>
    </row>
    <row r="9" spans="1:12" s="10" customFormat="1" ht="43.5" x14ac:dyDescent="0.35">
      <c r="A9" s="26"/>
      <c r="B9" s="38">
        <v>2</v>
      </c>
      <c r="C9" s="39" t="s">
        <v>52</v>
      </c>
      <c r="D9" s="39" t="s">
        <v>14</v>
      </c>
      <c r="E9" s="40" t="s">
        <v>199</v>
      </c>
      <c r="F9" s="41" t="s">
        <v>11</v>
      </c>
      <c r="G9" s="41" t="s">
        <v>137</v>
      </c>
      <c r="H9" s="47"/>
      <c r="I9" s="8"/>
      <c r="J9" s="8"/>
      <c r="K9" s="75"/>
    </row>
    <row r="10" spans="1:12" s="10" customFormat="1" ht="58" x14ac:dyDescent="0.35">
      <c r="A10" s="26"/>
      <c r="B10" s="38">
        <v>3</v>
      </c>
      <c r="C10" s="39" t="s">
        <v>52</v>
      </c>
      <c r="D10" s="39" t="s">
        <v>141</v>
      </c>
      <c r="E10" s="40" t="s">
        <v>200</v>
      </c>
      <c r="F10" s="33" t="s">
        <v>11</v>
      </c>
      <c r="G10" s="41" t="s">
        <v>64</v>
      </c>
      <c r="H10" s="47"/>
      <c r="I10" s="8"/>
      <c r="J10" s="8"/>
      <c r="K10" s="75"/>
    </row>
    <row r="11" spans="1:12" s="10" customFormat="1" ht="39" customHeight="1" x14ac:dyDescent="0.35">
      <c r="A11" s="26"/>
      <c r="B11" s="38">
        <v>4</v>
      </c>
      <c r="C11" s="39" t="s">
        <v>52</v>
      </c>
      <c r="D11" s="39" t="s">
        <v>60</v>
      </c>
      <c r="E11" s="94" t="s">
        <v>201</v>
      </c>
      <c r="F11" s="35" t="s">
        <v>120</v>
      </c>
      <c r="G11" s="41" t="s">
        <v>62</v>
      </c>
      <c r="H11" s="47"/>
      <c r="I11" s="8"/>
      <c r="J11" s="8"/>
      <c r="K11" s="75"/>
    </row>
    <row r="12" spans="1:12" s="10" customFormat="1" ht="58" x14ac:dyDescent="0.35">
      <c r="A12" s="65"/>
      <c r="B12" s="38">
        <v>5</v>
      </c>
      <c r="C12" s="39" t="s">
        <v>29</v>
      </c>
      <c r="D12" s="39" t="s">
        <v>14</v>
      </c>
      <c r="E12" s="94" t="s">
        <v>202</v>
      </c>
      <c r="F12" s="41" t="s">
        <v>18</v>
      </c>
      <c r="G12" s="41" t="s">
        <v>194</v>
      </c>
      <c r="H12" s="41"/>
      <c r="I12" s="47"/>
      <c r="J12" s="8"/>
      <c r="K12" s="8"/>
      <c r="L12" s="75"/>
    </row>
    <row r="13" spans="1:12" s="10" customFormat="1" ht="21" customHeight="1" x14ac:dyDescent="0.35">
      <c r="A13" s="288" t="s">
        <v>45</v>
      </c>
      <c r="B13" s="288"/>
      <c r="C13" s="288"/>
      <c r="D13" s="288"/>
      <c r="E13" s="288"/>
      <c r="F13" s="288"/>
      <c r="G13" s="288"/>
      <c r="H13" s="288"/>
      <c r="I13" s="288"/>
      <c r="J13" s="288"/>
      <c r="K13" s="290"/>
      <c r="L13" s="120"/>
    </row>
    <row r="14" spans="1:12" s="10" customFormat="1" ht="31" customHeight="1" x14ac:dyDescent="0.35">
      <c r="A14" s="314">
        <v>45355</v>
      </c>
      <c r="B14" s="38">
        <v>1</v>
      </c>
      <c r="C14" s="39" t="s">
        <v>24</v>
      </c>
      <c r="D14" s="39" t="s">
        <v>97</v>
      </c>
      <c r="E14" s="94" t="s">
        <v>189</v>
      </c>
      <c r="F14" s="41" t="s">
        <v>18</v>
      </c>
      <c r="G14" s="41" t="s">
        <v>150</v>
      </c>
      <c r="H14" s="47"/>
      <c r="I14" s="8"/>
      <c r="J14" s="8"/>
      <c r="K14" s="75"/>
    </row>
    <row r="15" spans="1:12" s="10" customFormat="1" ht="35" customHeight="1" x14ac:dyDescent="0.35">
      <c r="A15" s="315"/>
      <c r="B15" s="38">
        <v>2</v>
      </c>
      <c r="C15" s="39" t="s">
        <v>109</v>
      </c>
      <c r="D15" s="39" t="s">
        <v>186</v>
      </c>
      <c r="E15" s="94" t="s">
        <v>204</v>
      </c>
      <c r="F15" s="41" t="s">
        <v>205</v>
      </c>
      <c r="G15" s="41" t="s">
        <v>88</v>
      </c>
      <c r="H15" s="47"/>
      <c r="I15" s="8"/>
      <c r="J15" s="8"/>
      <c r="K15" s="75"/>
    </row>
    <row r="16" spans="1:12" s="10" customFormat="1" ht="35" customHeight="1" x14ac:dyDescent="0.35">
      <c r="A16" s="315"/>
      <c r="B16" s="38">
        <v>3</v>
      </c>
      <c r="C16" s="39" t="s">
        <v>29</v>
      </c>
      <c r="D16" s="39" t="s">
        <v>203</v>
      </c>
      <c r="E16" s="94" t="s">
        <v>208</v>
      </c>
      <c r="F16" s="41" t="s">
        <v>18</v>
      </c>
      <c r="G16" s="41" t="s">
        <v>88</v>
      </c>
      <c r="H16" s="47"/>
      <c r="I16" s="8"/>
      <c r="J16" s="8"/>
      <c r="K16" s="76"/>
    </row>
    <row r="17" spans="1:11" s="10" customFormat="1" ht="38" customHeight="1" x14ac:dyDescent="0.35">
      <c r="A17" s="315"/>
      <c r="B17" s="38">
        <v>4</v>
      </c>
      <c r="C17" s="39" t="s">
        <v>52</v>
      </c>
      <c r="D17" s="39" t="s">
        <v>8</v>
      </c>
      <c r="E17" s="40" t="s">
        <v>206</v>
      </c>
      <c r="F17" s="41" t="s">
        <v>18</v>
      </c>
      <c r="G17" s="41" t="s">
        <v>41</v>
      </c>
      <c r="H17" s="47"/>
      <c r="I17" s="8"/>
      <c r="J17" s="8"/>
      <c r="K17" s="76"/>
    </row>
    <row r="18" spans="1:11" s="10" customFormat="1" ht="47" customHeight="1" x14ac:dyDescent="0.35">
      <c r="A18" s="315"/>
      <c r="B18" s="19">
        <v>5</v>
      </c>
      <c r="C18" s="11" t="s">
        <v>24</v>
      </c>
      <c r="D18" s="11" t="s">
        <v>78</v>
      </c>
      <c r="E18" s="6" t="s">
        <v>207</v>
      </c>
      <c r="F18" s="41" t="s">
        <v>18</v>
      </c>
      <c r="G18" s="41" t="s">
        <v>41</v>
      </c>
      <c r="H18" s="7"/>
      <c r="I18" s="8"/>
      <c r="J18" s="8"/>
      <c r="K18" s="6"/>
    </row>
    <row r="19" spans="1:11" s="10" customFormat="1" ht="39" customHeight="1" x14ac:dyDescent="0.35">
      <c r="A19" s="316"/>
      <c r="B19" s="19">
        <v>6</v>
      </c>
      <c r="C19" s="11" t="s">
        <v>49</v>
      </c>
      <c r="D19" s="39" t="s">
        <v>203</v>
      </c>
      <c r="E19" s="94" t="s">
        <v>209</v>
      </c>
      <c r="F19" s="41" t="s">
        <v>205</v>
      </c>
      <c r="G19" s="33"/>
      <c r="H19" s="5"/>
      <c r="I19" s="8"/>
      <c r="J19" s="8"/>
      <c r="K19" s="6"/>
    </row>
    <row r="20" spans="1:11" s="10" customFormat="1" ht="39" customHeight="1" x14ac:dyDescent="0.35">
      <c r="A20" s="105">
        <v>45356</v>
      </c>
      <c r="B20" s="19">
        <v>1</v>
      </c>
      <c r="C20" s="11" t="s">
        <v>52</v>
      </c>
      <c r="D20" s="39" t="s">
        <v>14</v>
      </c>
      <c r="E20" s="94" t="s">
        <v>210</v>
      </c>
      <c r="F20" s="41" t="s">
        <v>18</v>
      </c>
      <c r="G20" s="33" t="s">
        <v>138</v>
      </c>
      <c r="H20" s="5"/>
      <c r="I20" s="8"/>
      <c r="J20" s="8"/>
      <c r="K20" s="6"/>
    </row>
    <row r="21" spans="1:11" s="10" customFormat="1" ht="39" customHeight="1" x14ac:dyDescent="0.35">
      <c r="A21" s="105"/>
      <c r="B21" s="19">
        <v>2</v>
      </c>
      <c r="C21" s="95" t="s">
        <v>230</v>
      </c>
      <c r="D21" s="39" t="s">
        <v>50</v>
      </c>
      <c r="E21" s="94" t="s">
        <v>229</v>
      </c>
      <c r="F21" s="41" t="s">
        <v>18</v>
      </c>
      <c r="G21" s="33"/>
      <c r="H21" s="5"/>
      <c r="I21" s="8"/>
      <c r="J21" s="8"/>
      <c r="K21" s="6"/>
    </row>
    <row r="22" spans="1:11" s="10" customFormat="1" ht="39" customHeight="1" x14ac:dyDescent="0.35">
      <c r="A22" s="105"/>
      <c r="B22" s="19">
        <v>3</v>
      </c>
      <c r="C22" s="11" t="s">
        <v>24</v>
      </c>
      <c r="D22" s="39" t="s">
        <v>123</v>
      </c>
      <c r="E22" s="94" t="s">
        <v>231</v>
      </c>
      <c r="F22" s="41" t="s">
        <v>18</v>
      </c>
      <c r="G22" s="33"/>
      <c r="H22" s="5"/>
      <c r="I22" s="8"/>
      <c r="J22" s="8"/>
      <c r="K22" s="6"/>
    </row>
    <row r="23" spans="1:11" s="10" customFormat="1" ht="63" customHeight="1" x14ac:dyDescent="0.35">
      <c r="A23" s="105"/>
      <c r="B23" s="19">
        <v>4</v>
      </c>
      <c r="C23" s="11" t="s">
        <v>29</v>
      </c>
      <c r="D23" s="39" t="s">
        <v>14</v>
      </c>
      <c r="E23" s="94" t="s">
        <v>232</v>
      </c>
      <c r="F23" s="41" t="s">
        <v>39</v>
      </c>
      <c r="G23" s="33" t="s">
        <v>116</v>
      </c>
      <c r="H23" s="5"/>
      <c r="I23" s="8"/>
      <c r="J23" s="8"/>
      <c r="K23" s="6"/>
    </row>
    <row r="24" spans="1:11" s="10" customFormat="1" ht="43.5" x14ac:dyDescent="0.35">
      <c r="A24" s="105"/>
      <c r="B24" s="19">
        <v>5</v>
      </c>
      <c r="C24" s="11" t="s">
        <v>89</v>
      </c>
      <c r="D24" s="39" t="s">
        <v>42</v>
      </c>
      <c r="E24" s="94" t="s">
        <v>233</v>
      </c>
      <c r="F24" s="41" t="s">
        <v>18</v>
      </c>
      <c r="G24" s="33" t="s">
        <v>47</v>
      </c>
      <c r="H24" s="5"/>
      <c r="I24" s="8"/>
      <c r="J24" s="8"/>
      <c r="K24" s="6"/>
    </row>
    <row r="25" spans="1:11" s="10" customFormat="1" ht="48" customHeight="1" x14ac:dyDescent="0.35">
      <c r="A25" s="105"/>
      <c r="B25" s="19">
        <v>6</v>
      </c>
      <c r="C25" s="11" t="s">
        <v>52</v>
      </c>
      <c r="D25" s="39" t="s">
        <v>64</v>
      </c>
      <c r="E25" s="94" t="s">
        <v>234</v>
      </c>
      <c r="F25" s="41" t="s">
        <v>18</v>
      </c>
      <c r="G25" s="33" t="s">
        <v>75</v>
      </c>
      <c r="H25" s="5"/>
      <c r="I25" s="8"/>
      <c r="J25" s="8"/>
      <c r="K25" s="6"/>
    </row>
    <row r="26" spans="1:11" s="10" customFormat="1" ht="39" customHeight="1" x14ac:dyDescent="0.35">
      <c r="A26" s="105"/>
      <c r="B26" s="19">
        <v>7</v>
      </c>
      <c r="C26" s="11" t="s">
        <v>52</v>
      </c>
      <c r="D26" s="39" t="s">
        <v>81</v>
      </c>
      <c r="E26" s="94" t="s">
        <v>235</v>
      </c>
      <c r="F26" s="41" t="s">
        <v>18</v>
      </c>
      <c r="G26" s="33" t="s">
        <v>75</v>
      </c>
      <c r="H26" s="5"/>
      <c r="I26" s="8"/>
      <c r="J26" s="8"/>
      <c r="K26" s="6"/>
    </row>
    <row r="27" spans="1:11" s="10" customFormat="1" ht="39" customHeight="1" x14ac:dyDescent="0.35">
      <c r="A27" s="104"/>
      <c r="B27" s="19">
        <v>8</v>
      </c>
      <c r="C27" s="11" t="s">
        <v>52</v>
      </c>
      <c r="D27" s="39" t="s">
        <v>97</v>
      </c>
      <c r="E27" s="94" t="s">
        <v>236</v>
      </c>
      <c r="F27" s="41" t="s">
        <v>18</v>
      </c>
      <c r="G27" s="33" t="s">
        <v>94</v>
      </c>
      <c r="H27" s="5"/>
      <c r="I27" s="8"/>
      <c r="J27" s="8"/>
      <c r="K27" s="6"/>
    </row>
    <row r="28" spans="1:11" s="10" customFormat="1" ht="34.5" customHeight="1" x14ac:dyDescent="0.35">
      <c r="A28" s="105">
        <v>45357</v>
      </c>
      <c r="B28" s="19">
        <v>1</v>
      </c>
      <c r="C28" s="11" t="s">
        <v>237</v>
      </c>
      <c r="D28" s="39" t="s">
        <v>126</v>
      </c>
      <c r="E28" s="94" t="s">
        <v>238</v>
      </c>
      <c r="F28" s="41" t="s">
        <v>18</v>
      </c>
      <c r="G28" s="33" t="s">
        <v>88</v>
      </c>
      <c r="H28" s="5"/>
      <c r="I28" s="8"/>
      <c r="J28" s="8"/>
      <c r="K28" s="6"/>
    </row>
    <row r="29" spans="1:11" s="10" customFormat="1" ht="39" customHeight="1" x14ac:dyDescent="0.35">
      <c r="A29" s="105"/>
      <c r="B29" s="19">
        <v>2</v>
      </c>
      <c r="C29" s="11" t="s">
        <v>52</v>
      </c>
      <c r="D29" s="41" t="s">
        <v>119</v>
      </c>
      <c r="E29" s="94" t="s">
        <v>239</v>
      </c>
      <c r="F29" s="41"/>
      <c r="G29" s="33"/>
      <c r="H29" s="5"/>
      <c r="I29" s="8"/>
      <c r="J29" s="8"/>
      <c r="K29" s="6"/>
    </row>
    <row r="30" spans="1:11" s="10" customFormat="1" ht="58" x14ac:dyDescent="0.35">
      <c r="A30" s="105"/>
      <c r="B30" s="19">
        <v>3</v>
      </c>
      <c r="C30" s="11" t="s">
        <v>29</v>
      </c>
      <c r="D30" s="39" t="s">
        <v>42</v>
      </c>
      <c r="E30" s="94" t="s">
        <v>240</v>
      </c>
      <c r="F30" s="41" t="s">
        <v>18</v>
      </c>
      <c r="G30" s="33" t="s">
        <v>194</v>
      </c>
      <c r="H30" s="5"/>
      <c r="I30" s="8"/>
      <c r="J30" s="8"/>
      <c r="K30" s="6"/>
    </row>
    <row r="31" spans="1:11" s="10" customFormat="1" ht="49" customHeight="1" x14ac:dyDescent="0.35">
      <c r="A31" s="105"/>
      <c r="B31" s="19">
        <v>4</v>
      </c>
      <c r="C31" s="11" t="s">
        <v>52</v>
      </c>
      <c r="D31" s="39" t="s">
        <v>212</v>
      </c>
      <c r="E31" s="94" t="s">
        <v>241</v>
      </c>
      <c r="F31" s="41" t="s">
        <v>43</v>
      </c>
      <c r="G31" s="33" t="s">
        <v>131</v>
      </c>
      <c r="H31" s="5"/>
      <c r="I31" s="8"/>
      <c r="J31" s="8"/>
      <c r="K31" s="6"/>
    </row>
    <row r="32" spans="1:11" s="10" customFormat="1" ht="39" customHeight="1" x14ac:dyDescent="0.35">
      <c r="A32" s="104"/>
      <c r="B32" s="19">
        <v>5</v>
      </c>
      <c r="C32" s="11" t="s">
        <v>52</v>
      </c>
      <c r="D32" s="5" t="s">
        <v>35</v>
      </c>
      <c r="E32" s="58" t="s">
        <v>242</v>
      </c>
      <c r="F32" s="41" t="s">
        <v>43</v>
      </c>
      <c r="G32" s="33" t="s">
        <v>62</v>
      </c>
      <c r="H32" s="5"/>
      <c r="I32" s="8"/>
      <c r="J32" s="8"/>
      <c r="K32" s="6"/>
    </row>
    <row r="33" spans="1:11" s="10" customFormat="1" ht="47.5" customHeight="1" x14ac:dyDescent="0.35">
      <c r="A33" s="285">
        <v>45358</v>
      </c>
      <c r="B33" s="19">
        <v>1</v>
      </c>
      <c r="C33" s="11" t="s">
        <v>24</v>
      </c>
      <c r="D33" s="5" t="s">
        <v>8</v>
      </c>
      <c r="E33" s="58" t="s">
        <v>243</v>
      </c>
      <c r="F33" s="33" t="s">
        <v>30</v>
      </c>
      <c r="G33" s="33" t="s">
        <v>244</v>
      </c>
      <c r="H33" s="5"/>
      <c r="I33" s="8"/>
      <c r="J33" s="8"/>
      <c r="K33" s="6"/>
    </row>
    <row r="34" spans="1:11" s="10" customFormat="1" ht="39" customHeight="1" x14ac:dyDescent="0.35">
      <c r="A34" s="286"/>
      <c r="B34" s="19">
        <v>2</v>
      </c>
      <c r="C34" s="11" t="s">
        <v>52</v>
      </c>
      <c r="D34" s="5" t="s">
        <v>48</v>
      </c>
      <c r="E34" s="58" t="s">
        <v>245</v>
      </c>
      <c r="F34" s="33" t="s">
        <v>43</v>
      </c>
      <c r="G34" s="33" t="s">
        <v>116</v>
      </c>
      <c r="H34" s="5"/>
      <c r="I34" s="8"/>
      <c r="J34" s="8"/>
      <c r="K34" s="6"/>
    </row>
    <row r="35" spans="1:11" s="10" customFormat="1" ht="49" customHeight="1" x14ac:dyDescent="0.35">
      <c r="A35" s="286"/>
      <c r="B35" s="19">
        <v>3</v>
      </c>
      <c r="C35" s="11" t="s">
        <v>52</v>
      </c>
      <c r="D35" s="5" t="s">
        <v>8</v>
      </c>
      <c r="E35" s="58" t="s">
        <v>249</v>
      </c>
      <c r="F35" s="33" t="s">
        <v>30</v>
      </c>
      <c r="G35" s="33" t="s">
        <v>136</v>
      </c>
      <c r="H35" s="5"/>
      <c r="I35" s="8"/>
      <c r="J35" s="8"/>
      <c r="K35" s="6"/>
    </row>
    <row r="36" spans="1:11" s="10" customFormat="1" ht="52.5" customHeight="1" x14ac:dyDescent="0.35">
      <c r="A36" s="286"/>
      <c r="B36" s="19">
        <v>4</v>
      </c>
      <c r="C36" s="11" t="s">
        <v>89</v>
      </c>
      <c r="D36" s="5" t="s">
        <v>14</v>
      </c>
      <c r="E36" s="58" t="s">
        <v>246</v>
      </c>
      <c r="F36" s="33" t="s">
        <v>43</v>
      </c>
      <c r="G36" s="33" t="s">
        <v>247</v>
      </c>
      <c r="H36" s="5"/>
      <c r="I36" s="8"/>
      <c r="J36" s="8"/>
      <c r="K36" s="6"/>
    </row>
    <row r="37" spans="1:11" s="10" customFormat="1" ht="49.5" customHeight="1" x14ac:dyDescent="0.35">
      <c r="A37" s="287"/>
      <c r="B37" s="19">
        <v>5</v>
      </c>
      <c r="C37" s="11" t="s">
        <v>29</v>
      </c>
      <c r="D37" s="5" t="s">
        <v>123</v>
      </c>
      <c r="E37" s="58" t="s">
        <v>248</v>
      </c>
      <c r="F37" s="33" t="s">
        <v>43</v>
      </c>
      <c r="G37" s="33" t="s">
        <v>116</v>
      </c>
      <c r="H37" s="5"/>
      <c r="I37" s="8"/>
      <c r="J37" s="8"/>
      <c r="K37" s="6"/>
    </row>
    <row r="38" spans="1:11" s="10" customFormat="1" ht="43.5" x14ac:dyDescent="0.35">
      <c r="A38" s="105">
        <v>45359</v>
      </c>
      <c r="B38" s="38">
        <v>1</v>
      </c>
      <c r="C38" s="11" t="s">
        <v>29</v>
      </c>
      <c r="D38" s="5" t="s">
        <v>123</v>
      </c>
      <c r="E38" s="58" t="s">
        <v>248</v>
      </c>
      <c r="F38" s="41"/>
      <c r="G38" s="33"/>
      <c r="H38" s="47"/>
      <c r="I38" s="8"/>
      <c r="J38" s="8"/>
      <c r="K38" s="75"/>
    </row>
    <row r="39" spans="1:11" s="10" customFormat="1" ht="43.5" x14ac:dyDescent="0.35">
      <c r="A39" s="26"/>
      <c r="B39" s="19">
        <v>2</v>
      </c>
      <c r="C39" s="5" t="s">
        <v>89</v>
      </c>
      <c r="D39" s="5" t="s">
        <v>14</v>
      </c>
      <c r="E39" s="6" t="s">
        <v>250</v>
      </c>
      <c r="F39" s="33"/>
      <c r="G39" s="33"/>
      <c r="H39" s="7"/>
      <c r="I39" s="8"/>
      <c r="J39" s="8"/>
      <c r="K39" s="9"/>
    </row>
    <row r="40" spans="1:11" s="10" customFormat="1" ht="38" customHeight="1" x14ac:dyDescent="0.35">
      <c r="A40" s="26"/>
      <c r="B40" s="38">
        <v>3</v>
      </c>
      <c r="C40" s="39" t="s">
        <v>52</v>
      </c>
      <c r="D40" s="39" t="s">
        <v>35</v>
      </c>
      <c r="E40" s="40" t="s">
        <v>251</v>
      </c>
      <c r="F40" s="41"/>
      <c r="G40" s="41"/>
      <c r="H40" s="7"/>
      <c r="I40" s="44"/>
      <c r="J40" s="44"/>
      <c r="K40" s="45"/>
    </row>
    <row r="41" spans="1:11" s="10" customFormat="1" ht="35.5" customHeight="1" x14ac:dyDescent="0.35">
      <c r="A41" s="65"/>
      <c r="B41" s="38">
        <v>4</v>
      </c>
      <c r="C41" s="39" t="s">
        <v>52</v>
      </c>
      <c r="D41" s="41" t="s">
        <v>259</v>
      </c>
      <c r="E41" s="40" t="s">
        <v>260</v>
      </c>
      <c r="F41" s="41"/>
      <c r="G41" s="41"/>
      <c r="H41" s="7"/>
      <c r="I41" s="44"/>
      <c r="J41" s="44"/>
      <c r="K41" s="45"/>
    </row>
    <row r="42" spans="1:11" s="10" customFormat="1" ht="72.5" x14ac:dyDescent="0.35">
      <c r="A42" s="105">
        <v>45362</v>
      </c>
      <c r="B42" s="38">
        <v>1</v>
      </c>
      <c r="C42" s="39" t="s">
        <v>24</v>
      </c>
      <c r="D42" s="39" t="s">
        <v>27</v>
      </c>
      <c r="E42" s="40" t="s">
        <v>252</v>
      </c>
      <c r="F42" s="41"/>
      <c r="G42" s="41"/>
      <c r="H42" s="7"/>
      <c r="I42" s="44"/>
      <c r="J42" s="44"/>
      <c r="K42" s="45"/>
    </row>
    <row r="43" spans="1:11" s="10" customFormat="1" ht="39" customHeight="1" x14ac:dyDescent="0.35">
      <c r="A43" s="80"/>
      <c r="B43" s="38">
        <v>2</v>
      </c>
      <c r="C43" s="39" t="s">
        <v>52</v>
      </c>
      <c r="D43" s="39" t="s">
        <v>113</v>
      </c>
      <c r="E43" s="40" t="s">
        <v>256</v>
      </c>
      <c r="F43" s="41"/>
      <c r="G43" s="41"/>
      <c r="H43" s="7"/>
      <c r="I43" s="44"/>
      <c r="J43" s="44"/>
      <c r="K43" s="45"/>
    </row>
    <row r="44" spans="1:11" s="10" customFormat="1" ht="39" customHeight="1" x14ac:dyDescent="0.35">
      <c r="A44" s="26"/>
      <c r="B44" s="38">
        <v>3</v>
      </c>
      <c r="C44" s="39" t="s">
        <v>52</v>
      </c>
      <c r="D44" s="39" t="s">
        <v>113</v>
      </c>
      <c r="E44" s="40" t="s">
        <v>254</v>
      </c>
      <c r="F44" s="41"/>
      <c r="G44" s="41"/>
      <c r="H44" s="7"/>
      <c r="I44" s="44"/>
      <c r="J44" s="44"/>
      <c r="K44" s="45"/>
    </row>
    <row r="45" spans="1:11" s="10" customFormat="1" ht="39" customHeight="1" x14ac:dyDescent="0.35">
      <c r="A45" s="26"/>
      <c r="B45" s="38">
        <v>4</v>
      </c>
      <c r="C45" s="39" t="s">
        <v>52</v>
      </c>
      <c r="D45" s="41" t="s">
        <v>97</v>
      </c>
      <c r="E45" s="40" t="s">
        <v>257</v>
      </c>
      <c r="F45" s="41"/>
      <c r="G45" s="41"/>
      <c r="H45" s="7"/>
      <c r="I45" s="44"/>
      <c r="J45" s="44"/>
      <c r="K45" s="45"/>
    </row>
    <row r="46" spans="1:11" s="10" customFormat="1" ht="31.5" customHeight="1" x14ac:dyDescent="0.35">
      <c r="A46" s="314">
        <v>45363</v>
      </c>
      <c r="B46" s="38">
        <v>1</v>
      </c>
      <c r="C46" s="5" t="s">
        <v>52</v>
      </c>
      <c r="D46" s="93" t="s">
        <v>14</v>
      </c>
      <c r="E46" s="76" t="s">
        <v>258</v>
      </c>
      <c r="F46" s="41"/>
      <c r="G46" s="41"/>
      <c r="H46" s="7"/>
      <c r="I46" s="44"/>
      <c r="J46" s="44"/>
      <c r="K46" s="76"/>
    </row>
    <row r="47" spans="1:11" s="10" customFormat="1" ht="34" customHeight="1" x14ac:dyDescent="0.35">
      <c r="A47" s="315"/>
      <c r="B47" s="38">
        <v>2</v>
      </c>
      <c r="C47" s="39" t="s">
        <v>52</v>
      </c>
      <c r="D47" s="41" t="s">
        <v>64</v>
      </c>
      <c r="E47" s="76" t="s">
        <v>262</v>
      </c>
      <c r="F47" s="41"/>
      <c r="G47" s="52"/>
      <c r="H47" s="47"/>
      <c r="I47" s="96"/>
      <c r="J47" s="44"/>
      <c r="K47" s="76"/>
    </row>
    <row r="48" spans="1:11" s="10" customFormat="1" ht="31" customHeight="1" x14ac:dyDescent="0.35">
      <c r="A48" s="316"/>
      <c r="B48" s="38">
        <v>3</v>
      </c>
      <c r="C48" s="39" t="s">
        <v>52</v>
      </c>
      <c r="D48" s="39" t="s">
        <v>113</v>
      </c>
      <c r="E48" s="40" t="s">
        <v>261</v>
      </c>
      <c r="F48" s="41"/>
      <c r="G48" s="41"/>
      <c r="H48" s="47"/>
      <c r="I48" s="47"/>
      <c r="J48" s="44"/>
      <c r="K48" s="45"/>
    </row>
    <row r="49" spans="1:11" s="10" customFormat="1" ht="31" customHeight="1" x14ac:dyDescent="0.35">
      <c r="A49" s="314">
        <v>45364</v>
      </c>
      <c r="B49" s="38">
        <v>1</v>
      </c>
      <c r="C49" s="39" t="s">
        <v>52</v>
      </c>
      <c r="D49" s="39" t="s">
        <v>263</v>
      </c>
      <c r="E49" s="40" t="s">
        <v>253</v>
      </c>
      <c r="F49" s="41"/>
      <c r="G49" s="41"/>
      <c r="H49" s="47"/>
      <c r="I49" s="47"/>
      <c r="J49" s="44"/>
      <c r="K49" s="45"/>
    </row>
    <row r="50" spans="1:11" s="10" customFormat="1" ht="58" x14ac:dyDescent="0.35">
      <c r="A50" s="315"/>
      <c r="B50" s="38">
        <v>2</v>
      </c>
      <c r="C50" s="39" t="s">
        <v>24</v>
      </c>
      <c r="D50" s="39" t="s">
        <v>27</v>
      </c>
      <c r="E50" s="40" t="s">
        <v>264</v>
      </c>
      <c r="F50" s="41"/>
      <c r="G50" s="41"/>
      <c r="H50" s="47"/>
      <c r="I50" s="47"/>
      <c r="J50" s="44"/>
      <c r="K50" s="45"/>
    </row>
    <row r="51" spans="1:11" s="10" customFormat="1" ht="37" customHeight="1" x14ac:dyDescent="0.35">
      <c r="A51" s="315"/>
      <c r="B51" s="38">
        <v>3</v>
      </c>
      <c r="C51" s="39" t="s">
        <v>52</v>
      </c>
      <c r="D51" s="41" t="s">
        <v>265</v>
      </c>
      <c r="E51" s="40" t="s">
        <v>266</v>
      </c>
      <c r="F51" s="41"/>
      <c r="G51" s="41"/>
      <c r="H51" s="47"/>
      <c r="I51" s="47"/>
      <c r="J51" s="44"/>
      <c r="K51" s="45"/>
    </row>
    <row r="52" spans="1:11" s="10" customFormat="1" ht="37" customHeight="1" x14ac:dyDescent="0.35">
      <c r="A52" s="316"/>
      <c r="B52" s="19">
        <v>4</v>
      </c>
      <c r="C52" s="11" t="s">
        <v>52</v>
      </c>
      <c r="D52" s="95" t="s">
        <v>92</v>
      </c>
      <c r="E52" s="152" t="s">
        <v>267</v>
      </c>
      <c r="F52" s="33"/>
      <c r="G52" s="33"/>
      <c r="H52" s="5"/>
      <c r="I52" s="8"/>
      <c r="J52" s="8"/>
      <c r="K52" s="9"/>
    </row>
    <row r="53" spans="1:11" s="10" customFormat="1" ht="37" customHeight="1" x14ac:dyDescent="0.35">
      <c r="A53" s="153">
        <v>45365</v>
      </c>
      <c r="B53" s="154"/>
      <c r="C53" s="155"/>
      <c r="D53" s="156"/>
      <c r="E53" s="157" t="s">
        <v>255</v>
      </c>
      <c r="F53" s="41"/>
      <c r="G53" s="41"/>
      <c r="H53" s="5"/>
      <c r="I53" s="44"/>
      <c r="J53" s="44"/>
      <c r="K53" s="45"/>
    </row>
    <row r="54" spans="1:11" s="10" customFormat="1" ht="37" customHeight="1" x14ac:dyDescent="0.35">
      <c r="A54" s="314">
        <v>45366</v>
      </c>
      <c r="B54" s="38">
        <v>1</v>
      </c>
      <c r="C54" s="42" t="s">
        <v>24</v>
      </c>
      <c r="D54" s="93" t="s">
        <v>33</v>
      </c>
      <c r="E54" s="152" t="s">
        <v>193</v>
      </c>
      <c r="F54" s="41"/>
      <c r="G54" s="41"/>
      <c r="H54" s="5"/>
      <c r="I54" s="44"/>
      <c r="J54" s="44"/>
      <c r="K54" s="45"/>
    </row>
    <row r="55" spans="1:11" s="10" customFormat="1" ht="49" customHeight="1" x14ac:dyDescent="0.35">
      <c r="A55" s="315"/>
      <c r="B55" s="38">
        <v>2</v>
      </c>
      <c r="C55" s="42" t="s">
        <v>29</v>
      </c>
      <c r="D55" s="93" t="s">
        <v>50</v>
      </c>
      <c r="E55" s="152" t="s">
        <v>268</v>
      </c>
      <c r="F55" s="41" t="s">
        <v>38</v>
      </c>
      <c r="G55" s="41"/>
      <c r="H55" s="5"/>
      <c r="I55" s="44"/>
      <c r="J55" s="44"/>
      <c r="K55" s="45"/>
    </row>
    <row r="56" spans="1:11" s="10" customFormat="1" ht="37" customHeight="1" x14ac:dyDescent="0.35">
      <c r="A56" s="315"/>
      <c r="B56" s="38">
        <v>3</v>
      </c>
      <c r="C56" s="42" t="s">
        <v>49</v>
      </c>
      <c r="D56" s="93" t="s">
        <v>27</v>
      </c>
      <c r="E56" s="152" t="s">
        <v>269</v>
      </c>
      <c r="F56" s="41"/>
      <c r="G56" s="41"/>
      <c r="H56" s="5"/>
      <c r="I56" s="44"/>
      <c r="J56" s="44"/>
      <c r="K56" s="45"/>
    </row>
    <row r="57" spans="1:11" s="10" customFormat="1" ht="43.5" x14ac:dyDescent="0.35">
      <c r="A57" s="315"/>
      <c r="B57" s="38">
        <v>4</v>
      </c>
      <c r="C57" s="42" t="s">
        <v>24</v>
      </c>
      <c r="D57" s="93" t="s">
        <v>97</v>
      </c>
      <c r="E57" s="152" t="s">
        <v>270</v>
      </c>
      <c r="F57" s="41"/>
      <c r="G57" s="41"/>
      <c r="H57" s="5"/>
      <c r="I57" s="44"/>
      <c r="J57" s="44"/>
      <c r="K57" s="45"/>
    </row>
    <row r="58" spans="1:11" s="10" customFormat="1" ht="43.5" x14ac:dyDescent="0.35">
      <c r="A58" s="316"/>
      <c r="B58" s="38">
        <v>5</v>
      </c>
      <c r="C58" s="42" t="s">
        <v>24</v>
      </c>
      <c r="D58" s="93" t="s">
        <v>14</v>
      </c>
      <c r="E58" s="152" t="s">
        <v>271</v>
      </c>
      <c r="F58" s="41"/>
      <c r="G58" s="41"/>
      <c r="H58" s="5"/>
      <c r="I58" s="44"/>
      <c r="J58" s="44"/>
      <c r="K58" s="45"/>
    </row>
    <row r="59" spans="1:11" s="3" customFormat="1" ht="21.5" customHeight="1" x14ac:dyDescent="0.35">
      <c r="A59" s="288" t="s">
        <v>63</v>
      </c>
      <c r="B59" s="288"/>
      <c r="C59" s="288"/>
      <c r="D59" s="288"/>
      <c r="E59" s="288"/>
      <c r="F59" s="288"/>
      <c r="G59" s="288"/>
      <c r="H59" s="288"/>
      <c r="I59" s="288"/>
      <c r="J59" s="288"/>
      <c r="K59" s="290"/>
    </row>
    <row r="60" spans="1:11" s="10" customFormat="1" ht="27.5" customHeight="1" x14ac:dyDescent="0.35">
      <c r="A60" s="314">
        <v>45369</v>
      </c>
      <c r="B60" s="19">
        <v>1</v>
      </c>
      <c r="C60" s="11" t="s">
        <v>29</v>
      </c>
      <c r="D60" s="11" t="s">
        <v>42</v>
      </c>
      <c r="E60" s="6" t="s">
        <v>211</v>
      </c>
      <c r="F60" s="33"/>
      <c r="G60" s="33"/>
      <c r="H60" s="5"/>
      <c r="I60" s="8"/>
      <c r="J60" s="8"/>
      <c r="K60" s="9"/>
    </row>
    <row r="61" spans="1:11" s="10" customFormat="1" ht="58" x14ac:dyDescent="0.35">
      <c r="A61" s="315"/>
      <c r="B61" s="20">
        <v>2</v>
      </c>
      <c r="C61" s="86" t="s">
        <v>52</v>
      </c>
      <c r="D61" s="11" t="s">
        <v>212</v>
      </c>
      <c r="E61" s="15" t="s">
        <v>213</v>
      </c>
      <c r="F61" s="33" t="s">
        <v>38</v>
      </c>
      <c r="G61" s="33" t="s">
        <v>39</v>
      </c>
      <c r="H61" s="23"/>
      <c r="I61" s="16"/>
      <c r="J61" s="16"/>
      <c r="K61" s="17"/>
    </row>
    <row r="62" spans="1:11" s="10" customFormat="1" ht="58" x14ac:dyDescent="0.35">
      <c r="A62" s="315"/>
      <c r="B62" s="19">
        <v>3</v>
      </c>
      <c r="C62" s="11" t="s">
        <v>24</v>
      </c>
      <c r="D62" s="11" t="s">
        <v>212</v>
      </c>
      <c r="E62" s="6" t="s">
        <v>214</v>
      </c>
      <c r="F62" s="33" t="s">
        <v>11</v>
      </c>
      <c r="G62" s="33" t="s">
        <v>215</v>
      </c>
      <c r="H62" s="5"/>
      <c r="I62" s="8"/>
      <c r="J62" s="8"/>
      <c r="K62" s="9"/>
    </row>
    <row r="63" spans="1:11" s="10" customFormat="1" ht="43.5" x14ac:dyDescent="0.35">
      <c r="A63" s="315"/>
      <c r="B63" s="38">
        <v>4</v>
      </c>
      <c r="C63" s="42" t="s">
        <v>47</v>
      </c>
      <c r="D63" s="93" t="s">
        <v>50</v>
      </c>
      <c r="E63" s="40" t="s">
        <v>216</v>
      </c>
      <c r="F63" s="41"/>
      <c r="G63" s="41"/>
      <c r="H63" s="47"/>
      <c r="I63" s="47"/>
      <c r="J63" s="44"/>
      <c r="K63" s="76"/>
    </row>
    <row r="64" spans="1:11" s="10" customFormat="1" ht="33.5" customHeight="1" x14ac:dyDescent="0.35">
      <c r="A64" s="315"/>
      <c r="B64" s="19">
        <v>5</v>
      </c>
      <c r="C64" s="11" t="s">
        <v>47</v>
      </c>
      <c r="D64" s="11" t="s">
        <v>42</v>
      </c>
      <c r="E64" s="6" t="s">
        <v>217</v>
      </c>
      <c r="F64" s="33"/>
      <c r="G64" s="33" t="s">
        <v>47</v>
      </c>
      <c r="H64" s="5"/>
      <c r="I64" s="8"/>
      <c r="J64" s="8"/>
      <c r="K64" s="9"/>
    </row>
    <row r="65" spans="1:11" s="10" customFormat="1" ht="35" customHeight="1" x14ac:dyDescent="0.35">
      <c r="A65" s="315"/>
      <c r="B65" s="19">
        <v>6</v>
      </c>
      <c r="C65" s="11" t="s">
        <v>52</v>
      </c>
      <c r="D65" s="95" t="s">
        <v>37</v>
      </c>
      <c r="E65" s="6" t="s">
        <v>219</v>
      </c>
      <c r="F65" s="33" t="s">
        <v>18</v>
      </c>
      <c r="G65" s="33" t="s">
        <v>75</v>
      </c>
      <c r="H65" s="5"/>
      <c r="I65" s="8"/>
      <c r="J65" s="8"/>
      <c r="K65" s="9"/>
    </row>
    <row r="66" spans="1:11" s="10" customFormat="1" ht="35" customHeight="1" x14ac:dyDescent="0.35">
      <c r="A66" s="80"/>
      <c r="B66" s="20">
        <v>7</v>
      </c>
      <c r="C66" s="86" t="s">
        <v>29</v>
      </c>
      <c r="D66" s="151" t="s">
        <v>212</v>
      </c>
      <c r="E66" s="15"/>
      <c r="F66" s="33"/>
      <c r="G66" s="25"/>
      <c r="H66" s="14"/>
      <c r="I66" s="16"/>
      <c r="J66" s="16"/>
      <c r="K66" s="17"/>
    </row>
    <row r="67" spans="1:11" ht="33.5" customHeight="1" x14ac:dyDescent="0.35">
      <c r="A67" s="314">
        <v>45370</v>
      </c>
      <c r="B67" s="20">
        <v>1</v>
      </c>
      <c r="C67" s="14" t="s">
        <v>24</v>
      </c>
      <c r="D67" s="14" t="s">
        <v>50</v>
      </c>
      <c r="E67" s="15" t="s">
        <v>218</v>
      </c>
      <c r="F67" s="5" t="s">
        <v>18</v>
      </c>
      <c r="G67" s="14"/>
      <c r="H67" s="55"/>
      <c r="I67" s="14"/>
      <c r="J67" s="14"/>
      <c r="K67" s="17"/>
    </row>
    <row r="68" spans="1:11" ht="33.5" customHeight="1" x14ac:dyDescent="0.35">
      <c r="A68" s="315"/>
      <c r="B68" s="20">
        <v>2</v>
      </c>
      <c r="C68" s="14" t="s">
        <v>24</v>
      </c>
      <c r="D68" s="14" t="s">
        <v>27</v>
      </c>
      <c r="E68" s="15" t="s">
        <v>221</v>
      </c>
      <c r="F68" s="5" t="s">
        <v>18</v>
      </c>
      <c r="G68" s="14" t="s">
        <v>222</v>
      </c>
      <c r="H68" s="23"/>
      <c r="I68" s="14"/>
      <c r="J68" s="14"/>
      <c r="K68" s="17"/>
    </row>
    <row r="69" spans="1:11" ht="36.5" customHeight="1" x14ac:dyDescent="0.35">
      <c r="A69" s="315"/>
      <c r="B69" s="38">
        <v>3</v>
      </c>
      <c r="C69" s="14" t="s">
        <v>24</v>
      </c>
      <c r="D69" s="14" t="s">
        <v>50</v>
      </c>
      <c r="E69" s="40" t="s">
        <v>220</v>
      </c>
      <c r="F69" s="41" t="s">
        <v>272</v>
      </c>
      <c r="G69" s="39"/>
      <c r="H69" s="47"/>
      <c r="I69" s="47"/>
      <c r="J69" s="14"/>
      <c r="K69" s="76"/>
    </row>
    <row r="70" spans="1:11" ht="34" customHeight="1" x14ac:dyDescent="0.35">
      <c r="A70" s="315"/>
      <c r="B70" s="19">
        <v>4</v>
      </c>
      <c r="C70" s="5" t="s">
        <v>183</v>
      </c>
      <c r="D70" s="5" t="s">
        <v>212</v>
      </c>
      <c r="E70" s="6" t="s">
        <v>223</v>
      </c>
      <c r="F70" s="5" t="s">
        <v>18</v>
      </c>
      <c r="G70" s="5" t="s">
        <v>150</v>
      </c>
      <c r="H70" s="47"/>
      <c r="I70" s="47"/>
      <c r="J70" s="14"/>
      <c r="K70" s="56"/>
    </row>
    <row r="71" spans="1:11" ht="72.5" x14ac:dyDescent="0.35">
      <c r="A71" s="315"/>
      <c r="B71" s="19">
        <v>5</v>
      </c>
      <c r="C71" s="5" t="s">
        <v>29</v>
      </c>
      <c r="D71" s="5" t="s">
        <v>212</v>
      </c>
      <c r="E71" s="6" t="s">
        <v>224</v>
      </c>
      <c r="F71" s="5" t="s">
        <v>54</v>
      </c>
      <c r="G71" s="5" t="s">
        <v>149</v>
      </c>
      <c r="H71" s="23"/>
      <c r="I71" s="14"/>
      <c r="J71" s="14"/>
      <c r="K71" s="17"/>
    </row>
    <row r="72" spans="1:11" ht="43.5" x14ac:dyDescent="0.35">
      <c r="A72" s="316"/>
      <c r="B72" s="19">
        <v>6</v>
      </c>
      <c r="C72" s="5" t="s">
        <v>52</v>
      </c>
      <c r="D72" s="5" t="s">
        <v>225</v>
      </c>
      <c r="E72" s="58" t="s">
        <v>226</v>
      </c>
      <c r="F72" s="24"/>
      <c r="G72" s="24"/>
      <c r="H72" s="21"/>
      <c r="I72" s="14"/>
      <c r="J72" s="14"/>
      <c r="K72" s="297"/>
    </row>
    <row r="73" spans="1:11" ht="37" customHeight="1" x14ac:dyDescent="0.35">
      <c r="A73" s="80">
        <v>45371</v>
      </c>
      <c r="B73" s="20">
        <v>1</v>
      </c>
      <c r="C73" s="14" t="s">
        <v>227</v>
      </c>
      <c r="D73" s="61" t="s">
        <v>97</v>
      </c>
      <c r="E73" s="66" t="s">
        <v>187</v>
      </c>
      <c r="F73" s="61"/>
      <c r="G73" s="61"/>
      <c r="H73" s="106"/>
      <c r="I73" s="14"/>
      <c r="J73" s="14"/>
      <c r="K73" s="298"/>
    </row>
    <row r="74" spans="1:11" ht="42.5" customHeight="1" x14ac:dyDescent="0.35">
      <c r="A74" s="26"/>
      <c r="B74" s="19">
        <v>2</v>
      </c>
      <c r="C74" s="5" t="s">
        <v>24</v>
      </c>
      <c r="D74" s="5" t="s">
        <v>97</v>
      </c>
      <c r="E74" s="6" t="s">
        <v>273</v>
      </c>
      <c r="F74" s="5"/>
      <c r="G74" s="5"/>
      <c r="H74" s="23"/>
      <c r="I74" s="21"/>
      <c r="J74" s="14"/>
      <c r="K74" s="9"/>
    </row>
    <row r="75" spans="1:11" ht="30" customHeight="1" x14ac:dyDescent="0.35">
      <c r="A75" s="65"/>
      <c r="B75" s="20">
        <v>3</v>
      </c>
      <c r="C75" s="14" t="s">
        <v>29</v>
      </c>
      <c r="D75" s="14" t="s">
        <v>50</v>
      </c>
      <c r="E75" s="15" t="s">
        <v>274</v>
      </c>
      <c r="F75" s="25" t="s">
        <v>152</v>
      </c>
      <c r="G75" s="14"/>
      <c r="H75" s="23"/>
      <c r="I75" s="14"/>
      <c r="J75" s="14"/>
      <c r="K75" s="17"/>
    </row>
    <row r="76" spans="1:11" ht="35" customHeight="1" x14ac:dyDescent="0.35">
      <c r="A76" s="80">
        <v>45372</v>
      </c>
      <c r="B76" s="20">
        <v>1</v>
      </c>
      <c r="C76" s="14" t="s">
        <v>24</v>
      </c>
      <c r="D76" s="14" t="s">
        <v>27</v>
      </c>
      <c r="E76" s="15" t="s">
        <v>228</v>
      </c>
      <c r="F76" s="14" t="s">
        <v>18</v>
      </c>
      <c r="G76" s="14" t="s">
        <v>145</v>
      </c>
      <c r="H76" s="23"/>
      <c r="I76" s="14"/>
      <c r="J76" s="14"/>
      <c r="K76" s="14"/>
    </row>
    <row r="77" spans="1:11" ht="35" customHeight="1" x14ac:dyDescent="0.35">
      <c r="A77" s="103">
        <v>45527</v>
      </c>
      <c r="B77" s="20">
        <v>2</v>
      </c>
      <c r="C77" s="14" t="s">
        <v>29</v>
      </c>
      <c r="D77" s="14" t="s">
        <v>50</v>
      </c>
      <c r="E77" s="15" t="s">
        <v>279</v>
      </c>
      <c r="F77" s="14"/>
      <c r="G77" s="14"/>
      <c r="H77" s="23"/>
      <c r="I77" s="14"/>
      <c r="J77" s="14"/>
      <c r="K77" s="14"/>
    </row>
    <row r="78" spans="1:11" ht="35" customHeight="1" x14ac:dyDescent="0.35">
      <c r="A78" s="103"/>
      <c r="B78" s="20">
        <v>3</v>
      </c>
      <c r="C78" s="14" t="s">
        <v>29</v>
      </c>
      <c r="D78" s="14" t="s">
        <v>50</v>
      </c>
      <c r="E78" s="15" t="s">
        <v>279</v>
      </c>
      <c r="F78" s="14"/>
      <c r="G78" s="14"/>
      <c r="H78" s="23"/>
      <c r="I78" s="14"/>
      <c r="J78" s="14"/>
      <c r="K78" s="14"/>
    </row>
    <row r="79" spans="1:11" ht="37" customHeight="1" x14ac:dyDescent="0.35">
      <c r="A79" s="103">
        <v>45530</v>
      </c>
      <c r="B79" s="20">
        <v>4</v>
      </c>
      <c r="C79" s="14" t="s">
        <v>52</v>
      </c>
      <c r="D79" s="14" t="s">
        <v>134</v>
      </c>
      <c r="E79" s="15" t="s">
        <v>275</v>
      </c>
      <c r="F79" s="14"/>
      <c r="G79" s="14"/>
      <c r="H79" s="23"/>
      <c r="I79" s="14"/>
      <c r="J79" s="14"/>
      <c r="K79" s="15"/>
    </row>
    <row r="80" spans="1:11" ht="32" customHeight="1" x14ac:dyDescent="0.35">
      <c r="A80" s="104"/>
      <c r="B80" s="20">
        <v>5</v>
      </c>
      <c r="C80" s="14" t="s">
        <v>24</v>
      </c>
      <c r="D80" s="14" t="s">
        <v>50</v>
      </c>
      <c r="E80" s="15" t="s">
        <v>276</v>
      </c>
      <c r="F80" s="14"/>
      <c r="G80" s="14"/>
      <c r="H80" s="23"/>
      <c r="I80" s="14"/>
      <c r="J80" s="14"/>
      <c r="K80" s="15"/>
    </row>
    <row r="81" spans="1:11" ht="24.5" customHeight="1" x14ac:dyDescent="0.35">
      <c r="A81" s="80">
        <v>45373</v>
      </c>
      <c r="B81" s="20">
        <v>1</v>
      </c>
      <c r="C81" s="14" t="s">
        <v>29</v>
      </c>
      <c r="D81" s="14" t="s">
        <v>277</v>
      </c>
      <c r="E81" s="15" t="s">
        <v>680</v>
      </c>
      <c r="F81" s="14"/>
      <c r="G81" s="14"/>
      <c r="H81" s="23"/>
      <c r="I81" s="14"/>
      <c r="J81" s="14"/>
      <c r="K81" s="17"/>
    </row>
    <row r="82" spans="1:11" ht="43.5" x14ac:dyDescent="0.35">
      <c r="A82" s="103"/>
      <c r="B82" s="20">
        <v>2</v>
      </c>
      <c r="C82" s="14" t="s">
        <v>29</v>
      </c>
      <c r="D82" s="14" t="s">
        <v>681</v>
      </c>
      <c r="E82" s="15" t="s">
        <v>682</v>
      </c>
      <c r="F82" s="14"/>
      <c r="G82" s="14"/>
      <c r="H82" s="23"/>
      <c r="I82" s="14"/>
      <c r="J82" s="14"/>
      <c r="K82" s="17"/>
    </row>
    <row r="83" spans="1:11" ht="29" x14ac:dyDescent="0.35">
      <c r="A83" s="104">
        <v>45531</v>
      </c>
      <c r="B83" s="20">
        <v>1</v>
      </c>
      <c r="C83" s="14" t="s">
        <v>24</v>
      </c>
      <c r="D83" s="14" t="s">
        <v>57</v>
      </c>
      <c r="E83" s="15" t="s">
        <v>683</v>
      </c>
      <c r="F83" s="14" t="s">
        <v>18</v>
      </c>
      <c r="G83" s="14" t="s">
        <v>138</v>
      </c>
      <c r="H83" s="23"/>
      <c r="I83" s="14"/>
      <c r="J83" s="14"/>
      <c r="K83" s="15"/>
    </row>
    <row r="84" spans="1:11" ht="43.5" customHeight="1" x14ac:dyDescent="0.35">
      <c r="A84" s="219"/>
      <c r="B84" s="221">
        <v>2</v>
      </c>
      <c r="C84" s="222" t="s">
        <v>52</v>
      </c>
      <c r="D84" s="222" t="s">
        <v>8</v>
      </c>
      <c r="E84" s="225" t="s">
        <v>685</v>
      </c>
      <c r="F84" s="222"/>
      <c r="G84" s="222"/>
      <c r="H84" s="140"/>
      <c r="I84" s="222"/>
      <c r="J84" s="222"/>
      <c r="K84" s="138"/>
    </row>
    <row r="85" spans="1:11" ht="43.5" customHeight="1" x14ac:dyDescent="0.35">
      <c r="A85" s="219"/>
      <c r="B85" s="221">
        <v>3</v>
      </c>
      <c r="C85" s="222" t="s">
        <v>52</v>
      </c>
      <c r="D85" s="222" t="s">
        <v>76</v>
      </c>
      <c r="E85" s="223" t="s">
        <v>686</v>
      </c>
      <c r="F85" s="222"/>
      <c r="G85" s="222"/>
      <c r="H85" s="140"/>
      <c r="I85" s="222"/>
      <c r="J85" s="222"/>
      <c r="K85" s="138"/>
    </row>
    <row r="86" spans="1:11" ht="29" customHeight="1" x14ac:dyDescent="0.35">
      <c r="A86" s="219"/>
      <c r="B86" s="221">
        <v>4</v>
      </c>
      <c r="C86" s="222" t="s">
        <v>52</v>
      </c>
      <c r="D86" s="222" t="s">
        <v>665</v>
      </c>
      <c r="E86" s="223" t="s">
        <v>687</v>
      </c>
      <c r="F86" s="222"/>
      <c r="G86" s="222"/>
      <c r="H86" s="140"/>
      <c r="I86" s="222"/>
      <c r="J86" s="222"/>
      <c r="K86" s="138"/>
    </row>
    <row r="87" spans="1:11" ht="72.5" customHeight="1" x14ac:dyDescent="0.35">
      <c r="A87" s="219"/>
      <c r="B87" s="221">
        <v>5</v>
      </c>
      <c r="C87" s="222" t="s">
        <v>52</v>
      </c>
      <c r="D87" s="222" t="s">
        <v>8</v>
      </c>
      <c r="E87" s="223" t="s">
        <v>688</v>
      </c>
      <c r="F87" s="222"/>
      <c r="G87" s="222"/>
      <c r="H87" s="140"/>
      <c r="I87" s="222"/>
      <c r="J87" s="222"/>
      <c r="K87" s="138"/>
    </row>
    <row r="88" spans="1:11" ht="49.5" customHeight="1" x14ac:dyDescent="0.35">
      <c r="A88" s="288" t="s">
        <v>53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90"/>
    </row>
    <row r="89" spans="1:11" ht="33.5" customHeight="1" x14ac:dyDescent="0.35">
      <c r="A89" s="80">
        <v>45532</v>
      </c>
      <c r="B89" s="20">
        <v>1</v>
      </c>
      <c r="C89" s="14" t="s">
        <v>24</v>
      </c>
      <c r="D89" s="14" t="s">
        <v>50</v>
      </c>
      <c r="E89" s="15" t="s">
        <v>690</v>
      </c>
      <c r="F89" s="14"/>
      <c r="G89" s="14"/>
      <c r="H89" s="23"/>
      <c r="I89" s="14"/>
      <c r="J89" s="14"/>
      <c r="K89" s="17"/>
    </row>
    <row r="90" spans="1:11" ht="37" customHeight="1" x14ac:dyDescent="0.35">
      <c r="A90" s="80"/>
      <c r="B90" s="20">
        <v>2</v>
      </c>
      <c r="C90" s="14" t="s">
        <v>52</v>
      </c>
      <c r="D90" s="14" t="s">
        <v>691</v>
      </c>
      <c r="E90" s="15" t="s">
        <v>692</v>
      </c>
      <c r="F90" s="14"/>
      <c r="G90" s="14"/>
      <c r="H90" s="23"/>
      <c r="I90" s="14"/>
      <c r="J90" s="14"/>
      <c r="K90" s="17"/>
    </row>
    <row r="91" spans="1:11" ht="34.5" customHeight="1" x14ac:dyDescent="0.35">
      <c r="A91" s="80"/>
      <c r="B91" s="20">
        <v>3</v>
      </c>
      <c r="C91" s="14" t="s">
        <v>52</v>
      </c>
      <c r="D91" s="25" t="s">
        <v>48</v>
      </c>
      <c r="E91" s="15" t="s">
        <v>695</v>
      </c>
      <c r="F91" s="14"/>
      <c r="G91" s="14"/>
      <c r="H91" s="23"/>
      <c r="I91" s="14"/>
      <c r="J91" s="14"/>
      <c r="K91" s="17"/>
    </row>
    <row r="92" spans="1:11" ht="32.5" customHeight="1" x14ac:dyDescent="0.35">
      <c r="A92" s="80"/>
      <c r="B92" s="20">
        <v>4</v>
      </c>
      <c r="C92" s="14" t="s">
        <v>52</v>
      </c>
      <c r="D92" s="14" t="s">
        <v>60</v>
      </c>
      <c r="E92" s="15" t="s">
        <v>693</v>
      </c>
      <c r="F92" s="14"/>
      <c r="G92" s="14"/>
      <c r="H92" s="23"/>
      <c r="I92" s="14"/>
      <c r="J92" s="14"/>
      <c r="K92" s="17"/>
    </row>
    <row r="93" spans="1:11" ht="35.5" customHeight="1" x14ac:dyDescent="0.35">
      <c r="A93" s="80">
        <v>45377</v>
      </c>
      <c r="B93" s="20">
        <v>5</v>
      </c>
      <c r="C93" s="14" t="s">
        <v>52</v>
      </c>
      <c r="D93" s="14" t="s">
        <v>60</v>
      </c>
      <c r="E93" s="15" t="s">
        <v>694</v>
      </c>
      <c r="F93" s="14"/>
      <c r="G93" s="14"/>
      <c r="H93" s="23"/>
      <c r="I93" s="14"/>
      <c r="J93" s="14"/>
      <c r="K93" s="17"/>
    </row>
    <row r="94" spans="1:11" ht="56.5" customHeight="1" x14ac:dyDescent="0.35">
      <c r="A94" s="103"/>
      <c r="B94" s="20">
        <v>6</v>
      </c>
      <c r="C94" s="14" t="s">
        <v>52</v>
      </c>
      <c r="D94" s="25" t="s">
        <v>48</v>
      </c>
      <c r="E94" s="15" t="s">
        <v>696</v>
      </c>
      <c r="F94" s="14"/>
      <c r="G94" s="14"/>
      <c r="H94" s="23"/>
      <c r="I94" s="14"/>
      <c r="J94" s="14"/>
      <c r="K94" s="17"/>
    </row>
    <row r="95" spans="1:11" ht="110.5" customHeight="1" x14ac:dyDescent="0.35">
      <c r="A95" s="285">
        <v>45533</v>
      </c>
      <c r="B95" s="20">
        <v>1</v>
      </c>
      <c r="C95" s="14" t="s">
        <v>52</v>
      </c>
      <c r="D95" s="25" t="s">
        <v>82</v>
      </c>
      <c r="E95" s="87" t="s">
        <v>698</v>
      </c>
      <c r="F95" s="14"/>
      <c r="G95" s="14"/>
      <c r="H95" s="23"/>
      <c r="I95" s="14"/>
      <c r="J95" s="14"/>
      <c r="K95" s="17"/>
    </row>
    <row r="96" spans="1:11" ht="78" customHeight="1" x14ac:dyDescent="0.35">
      <c r="A96" s="314"/>
      <c r="B96" s="88">
        <v>1</v>
      </c>
      <c r="C96" s="29" t="s">
        <v>52</v>
      </c>
      <c r="D96" s="89" t="s">
        <v>82</v>
      </c>
      <c r="E96" s="230" t="s">
        <v>697</v>
      </c>
      <c r="F96" s="29"/>
      <c r="G96" s="29"/>
      <c r="H96" s="32"/>
      <c r="I96" s="29"/>
      <c r="J96" s="29"/>
      <c r="K96" s="31"/>
    </row>
    <row r="97" spans="1:11" s="10" customFormat="1" ht="29" x14ac:dyDescent="0.35">
      <c r="A97" s="233">
        <v>45535</v>
      </c>
      <c r="B97" s="5">
        <v>1</v>
      </c>
      <c r="C97" s="5" t="s">
        <v>24</v>
      </c>
      <c r="D97" s="5" t="s">
        <v>8</v>
      </c>
      <c r="E97" s="6" t="s">
        <v>699</v>
      </c>
      <c r="F97" s="5"/>
      <c r="G97" s="5"/>
      <c r="H97" s="5"/>
      <c r="I97" s="24"/>
      <c r="J97" s="24"/>
      <c r="K97" s="5"/>
    </row>
    <row r="98" spans="1:11" s="10" customFormat="1" ht="72.5" x14ac:dyDescent="0.35">
      <c r="A98" s="233"/>
      <c r="B98" s="5">
        <v>2</v>
      </c>
      <c r="C98" s="5" t="s">
        <v>24</v>
      </c>
      <c r="D98" s="5" t="s">
        <v>8</v>
      </c>
      <c r="E98" s="6" t="s">
        <v>700</v>
      </c>
      <c r="F98" s="5"/>
      <c r="G98" s="5"/>
      <c r="H98" s="5"/>
      <c r="I98" s="24"/>
      <c r="J98" s="24"/>
      <c r="K98" s="5"/>
    </row>
    <row r="99" spans="1:11" s="10" customFormat="1" x14ac:dyDescent="0.35">
      <c r="A99" s="233"/>
      <c r="B99" s="5"/>
      <c r="C99" s="5"/>
      <c r="D99" s="5"/>
      <c r="E99" s="5"/>
      <c r="F99" s="5"/>
      <c r="G99" s="5"/>
      <c r="H99" s="5"/>
      <c r="I99" s="24"/>
      <c r="J99" s="24"/>
      <c r="K99" s="5"/>
    </row>
    <row r="100" spans="1:11" x14ac:dyDescent="0.35">
      <c r="A100" s="220"/>
    </row>
    <row r="101" spans="1:11" x14ac:dyDescent="0.35">
      <c r="A101" s="220"/>
    </row>
  </sheetData>
  <dataConsolidate/>
  <mergeCells count="22">
    <mergeCell ref="A13:K13"/>
    <mergeCell ref="A54:A58"/>
    <mergeCell ref="A49:A52"/>
    <mergeCell ref="A33:A37"/>
    <mergeCell ref="A67:A72"/>
    <mergeCell ref="K72:K73"/>
    <mergeCell ref="A88:K88"/>
    <mergeCell ref="A95:A96"/>
    <mergeCell ref="G5:G6"/>
    <mergeCell ref="H5:J5"/>
    <mergeCell ref="K5:K6"/>
    <mergeCell ref="A7:K7"/>
    <mergeCell ref="A5:A6"/>
    <mergeCell ref="B5:B6"/>
    <mergeCell ref="C5:C6"/>
    <mergeCell ref="D5:D6"/>
    <mergeCell ref="E5:E6"/>
    <mergeCell ref="F5:F6"/>
    <mergeCell ref="A14:A19"/>
    <mergeCell ref="A46:A48"/>
    <mergeCell ref="A59:K59"/>
    <mergeCell ref="A60:A6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8A3F-363D-4ADD-A0CB-2DD2DA5EFD7A}">
  <sheetPr>
    <tabColor rgb="FFFFFF00"/>
  </sheetPr>
  <dimension ref="B1:O68"/>
  <sheetViews>
    <sheetView showGridLines="0" tabSelected="1" zoomScale="85" zoomScaleNormal="85" workbookViewId="0">
      <pane xSplit="3" ySplit="7" topLeftCell="E37" activePane="bottomRight" state="frozen"/>
      <selection pane="topRight" activeCell="C1" sqref="C1"/>
      <selection pane="bottomLeft" activeCell="A8" sqref="A8"/>
      <selection pane="bottomRight" sqref="A1:XFD1048576"/>
    </sheetView>
  </sheetViews>
  <sheetFormatPr defaultRowHeight="14.5" x14ac:dyDescent="0.35"/>
  <cols>
    <col min="1" max="1" width="3.453125" customWidth="1"/>
    <col min="2" max="2" width="5.08984375" customWidth="1"/>
    <col min="3" max="3" width="9" bestFit="1" customWidth="1"/>
    <col min="4" max="4" width="38.90625" style="2" customWidth="1"/>
    <col min="5" max="5" width="9.1796875" style="2" customWidth="1"/>
    <col min="6" max="6" width="15" style="2" customWidth="1"/>
    <col min="7" max="7" width="11.36328125" style="2" customWidth="1"/>
    <col min="8" max="13" width="11.36328125" customWidth="1"/>
    <col min="14" max="14" width="73.90625" style="2" customWidth="1"/>
  </cols>
  <sheetData>
    <row r="1" spans="2:14" x14ac:dyDescent="0.35">
      <c r="B1" s="1" t="s">
        <v>25</v>
      </c>
    </row>
    <row r="2" spans="2:14" x14ac:dyDescent="0.35">
      <c r="B2" s="1" t="s">
        <v>19</v>
      </c>
    </row>
    <row r="3" spans="2:14" x14ac:dyDescent="0.35">
      <c r="B3" s="1" t="s">
        <v>1135</v>
      </c>
    </row>
    <row r="4" spans="2:14" ht="15" thickBot="1" x14ac:dyDescent="0.4"/>
    <row r="5" spans="2:14" s="3" customFormat="1" ht="20" customHeight="1" thickTop="1" x14ac:dyDescent="0.35">
      <c r="B5" s="393" t="s">
        <v>4</v>
      </c>
      <c r="C5" s="394" t="s">
        <v>5</v>
      </c>
      <c r="D5" s="395" t="s">
        <v>6</v>
      </c>
      <c r="E5" s="395" t="s">
        <v>98</v>
      </c>
      <c r="F5" s="395" t="s">
        <v>1284</v>
      </c>
      <c r="G5" s="396" t="s">
        <v>3</v>
      </c>
      <c r="H5" s="397"/>
      <c r="I5" s="397"/>
      <c r="J5" s="397"/>
      <c r="K5" s="397"/>
      <c r="L5" s="397"/>
      <c r="M5" s="398"/>
      <c r="N5" s="399" t="s">
        <v>0</v>
      </c>
    </row>
    <row r="6" spans="2:14" s="3" customFormat="1" ht="21.5" customHeight="1" thickBot="1" x14ac:dyDescent="0.4">
      <c r="B6" s="418"/>
      <c r="C6" s="419"/>
      <c r="D6" s="420"/>
      <c r="E6" s="420"/>
      <c r="F6" s="420"/>
      <c r="G6" s="421" t="s">
        <v>20</v>
      </c>
      <c r="H6" s="421" t="s">
        <v>21</v>
      </c>
      <c r="I6" s="421" t="s">
        <v>22</v>
      </c>
      <c r="J6" s="421" t="s">
        <v>23</v>
      </c>
      <c r="K6" s="421" t="s">
        <v>11</v>
      </c>
      <c r="L6" s="421" t="s">
        <v>12</v>
      </c>
      <c r="M6" s="421" t="s">
        <v>13</v>
      </c>
      <c r="N6" s="422"/>
    </row>
    <row r="7" spans="2:14" s="3" customFormat="1" ht="4.5" customHeight="1" thickTop="1" x14ac:dyDescent="0.35">
      <c r="B7" s="415"/>
      <c r="C7" s="416"/>
      <c r="D7" s="416"/>
      <c r="E7" s="416"/>
      <c r="F7" s="416"/>
      <c r="G7" s="416"/>
      <c r="H7" s="416"/>
      <c r="I7" s="416"/>
      <c r="J7" s="416"/>
      <c r="K7" s="416"/>
      <c r="L7" s="416"/>
      <c r="M7" s="416"/>
      <c r="N7" s="417"/>
    </row>
    <row r="8" spans="2:14" s="242" customFormat="1" ht="19" customHeight="1" x14ac:dyDescent="0.35">
      <c r="B8" s="400">
        <v>1</v>
      </c>
      <c r="C8" s="358" t="s">
        <v>89</v>
      </c>
      <c r="D8" s="361" t="s">
        <v>701</v>
      </c>
      <c r="E8" s="358" t="s">
        <v>91</v>
      </c>
      <c r="F8" s="243" t="s">
        <v>1285</v>
      </c>
      <c r="G8" s="380" t="s">
        <v>1</v>
      </c>
      <c r="H8" s="380" t="s">
        <v>1</v>
      </c>
      <c r="I8" s="380" t="s">
        <v>1</v>
      </c>
      <c r="J8" s="46"/>
      <c r="K8" s="380" t="s">
        <v>1</v>
      </c>
      <c r="L8" s="380" t="s">
        <v>1</v>
      </c>
      <c r="M8" s="380" t="s">
        <v>1</v>
      </c>
      <c r="N8" s="401" t="s">
        <v>1288</v>
      </c>
    </row>
    <row r="9" spans="2:14" s="242" customFormat="1" ht="30" customHeight="1" x14ac:dyDescent="0.35">
      <c r="B9" s="402"/>
      <c r="C9" s="359"/>
      <c r="D9" s="362"/>
      <c r="E9" s="359"/>
      <c r="F9" s="284" t="s">
        <v>1286</v>
      </c>
      <c r="G9" s="389">
        <v>45544</v>
      </c>
      <c r="H9" s="389">
        <v>45561</v>
      </c>
      <c r="I9" s="389">
        <v>45572</v>
      </c>
      <c r="J9" s="390"/>
      <c r="K9" s="389">
        <v>45677</v>
      </c>
      <c r="L9" s="389">
        <v>45691</v>
      </c>
      <c r="M9" s="389">
        <v>45693</v>
      </c>
      <c r="N9" s="403"/>
    </row>
    <row r="10" spans="2:14" s="242" customFormat="1" ht="29.5" customHeight="1" thickBot="1" x14ac:dyDescent="0.4">
      <c r="B10" s="404"/>
      <c r="C10" s="384"/>
      <c r="D10" s="385"/>
      <c r="E10" s="384"/>
      <c r="F10" s="386" t="s">
        <v>1287</v>
      </c>
      <c r="G10" s="431">
        <v>45561</v>
      </c>
      <c r="H10" s="431">
        <v>45569</v>
      </c>
      <c r="I10" s="431">
        <v>45574</v>
      </c>
      <c r="J10" s="388"/>
      <c r="K10" s="387">
        <v>45681</v>
      </c>
      <c r="L10" s="387">
        <v>45691</v>
      </c>
      <c r="M10" s="387">
        <v>45693</v>
      </c>
      <c r="N10" s="405"/>
    </row>
    <row r="11" spans="2:14" s="242" customFormat="1" ht="21.5" customHeight="1" thickTop="1" x14ac:dyDescent="0.35">
      <c r="B11" s="402">
        <f>B8+1</f>
        <v>2</v>
      </c>
      <c r="C11" s="359" t="s">
        <v>89</v>
      </c>
      <c r="D11" s="362" t="s">
        <v>933</v>
      </c>
      <c r="E11" s="359" t="s">
        <v>91</v>
      </c>
      <c r="F11" s="244" t="s">
        <v>1285</v>
      </c>
      <c r="G11" s="383" t="s">
        <v>1</v>
      </c>
      <c r="H11" s="383" t="s">
        <v>1</v>
      </c>
      <c r="I11" s="383" t="s">
        <v>1</v>
      </c>
      <c r="J11" s="383" t="s">
        <v>1</v>
      </c>
      <c r="K11" s="383" t="s">
        <v>1</v>
      </c>
      <c r="L11" s="383" t="s">
        <v>1</v>
      </c>
      <c r="M11" s="383" t="s">
        <v>1</v>
      </c>
      <c r="N11" s="403" t="s">
        <v>1148</v>
      </c>
    </row>
    <row r="12" spans="2:14" s="242" customFormat="1" ht="29.5" customHeight="1" x14ac:dyDescent="0.35">
      <c r="B12" s="402"/>
      <c r="C12" s="359"/>
      <c r="D12" s="362"/>
      <c r="E12" s="359"/>
      <c r="F12" s="284" t="s">
        <v>1286</v>
      </c>
      <c r="G12" s="389">
        <v>45614</v>
      </c>
      <c r="H12" s="389">
        <v>45614</v>
      </c>
      <c r="I12" s="389">
        <v>45628</v>
      </c>
      <c r="J12" s="389">
        <v>45635</v>
      </c>
      <c r="K12" s="389">
        <v>45677</v>
      </c>
      <c r="L12" s="389">
        <v>45681</v>
      </c>
      <c r="M12" s="389">
        <v>45692</v>
      </c>
      <c r="N12" s="403"/>
    </row>
    <row r="13" spans="2:14" s="242" customFormat="1" ht="29.5" customHeight="1" thickBot="1" x14ac:dyDescent="0.4">
      <c r="B13" s="404"/>
      <c r="C13" s="384"/>
      <c r="D13" s="385"/>
      <c r="E13" s="384"/>
      <c r="F13" s="386" t="s">
        <v>1287</v>
      </c>
      <c r="G13" s="387">
        <v>45614</v>
      </c>
      <c r="H13" s="387">
        <v>45617</v>
      </c>
      <c r="I13" s="387">
        <v>45657</v>
      </c>
      <c r="J13" s="387">
        <v>45660</v>
      </c>
      <c r="K13" s="387">
        <v>45681</v>
      </c>
      <c r="L13" s="387">
        <v>45691</v>
      </c>
      <c r="M13" s="387">
        <v>45693</v>
      </c>
      <c r="N13" s="405"/>
    </row>
    <row r="14" spans="2:14" s="10" customFormat="1" ht="23" customHeight="1" thickTop="1" x14ac:dyDescent="0.35">
      <c r="B14" s="424">
        <f>B11+1</f>
        <v>3</v>
      </c>
      <c r="C14" s="425" t="s">
        <v>447</v>
      </c>
      <c r="D14" s="426" t="s">
        <v>1134</v>
      </c>
      <c r="E14" s="425" t="s">
        <v>66</v>
      </c>
      <c r="F14" s="427" t="s">
        <v>1285</v>
      </c>
      <c r="G14" s="428" t="s">
        <v>1</v>
      </c>
      <c r="H14" s="428" t="s">
        <v>1</v>
      </c>
      <c r="I14" s="429"/>
      <c r="J14" s="428" t="s">
        <v>1</v>
      </c>
      <c r="K14" s="428" t="s">
        <v>1</v>
      </c>
      <c r="L14" s="428" t="s">
        <v>1</v>
      </c>
      <c r="M14" s="428" t="s">
        <v>1</v>
      </c>
      <c r="N14" s="430" t="s">
        <v>1149</v>
      </c>
    </row>
    <row r="15" spans="2:14" s="10" customFormat="1" ht="31" customHeight="1" x14ac:dyDescent="0.35">
      <c r="B15" s="402"/>
      <c r="C15" s="359"/>
      <c r="D15" s="362"/>
      <c r="E15" s="359"/>
      <c r="F15" s="284" t="s">
        <v>1286</v>
      </c>
      <c r="G15" s="382">
        <v>45637</v>
      </c>
      <c r="H15" s="389">
        <v>45642</v>
      </c>
      <c r="I15" s="98"/>
      <c r="J15" s="382">
        <v>45650</v>
      </c>
      <c r="K15" s="382">
        <v>45665</v>
      </c>
      <c r="L15" s="382">
        <v>45666</v>
      </c>
      <c r="M15" s="382">
        <v>45667</v>
      </c>
      <c r="N15" s="403"/>
    </row>
    <row r="16" spans="2:14" s="10" customFormat="1" ht="31" customHeight="1" thickBot="1" x14ac:dyDescent="0.4">
      <c r="B16" s="404"/>
      <c r="C16" s="384"/>
      <c r="D16" s="385"/>
      <c r="E16" s="384"/>
      <c r="F16" s="386" t="s">
        <v>1287</v>
      </c>
      <c r="G16" s="387">
        <v>45639</v>
      </c>
      <c r="H16" s="387">
        <v>45649</v>
      </c>
      <c r="I16" s="388"/>
      <c r="J16" s="387">
        <v>45657</v>
      </c>
      <c r="K16" s="387">
        <v>45665</v>
      </c>
      <c r="L16" s="387">
        <v>45666</v>
      </c>
      <c r="M16" s="387">
        <v>45667</v>
      </c>
      <c r="N16" s="405"/>
    </row>
    <row r="17" spans="2:15" s="10" customFormat="1" ht="24.5" customHeight="1" thickTop="1" x14ac:dyDescent="0.35">
      <c r="B17" s="434">
        <f>B14+1</f>
        <v>4</v>
      </c>
      <c r="C17" s="425" t="s">
        <v>24</v>
      </c>
      <c r="D17" s="426" t="s">
        <v>1140</v>
      </c>
      <c r="E17" s="435" t="s">
        <v>34</v>
      </c>
      <c r="F17" s="427" t="s">
        <v>1285</v>
      </c>
      <c r="G17" s="428" t="s">
        <v>1</v>
      </c>
      <c r="H17" s="433"/>
      <c r="I17" s="433"/>
      <c r="J17" s="433"/>
      <c r="K17" s="433"/>
      <c r="L17" s="433"/>
      <c r="M17" s="433"/>
      <c r="N17" s="430" t="s">
        <v>1150</v>
      </c>
    </row>
    <row r="18" spans="2:15" s="10" customFormat="1" ht="28.5" customHeight="1" x14ac:dyDescent="0.35">
      <c r="B18" s="406"/>
      <c r="C18" s="359"/>
      <c r="D18" s="362"/>
      <c r="E18" s="360"/>
      <c r="F18" s="284" t="s">
        <v>1286</v>
      </c>
      <c r="G18" s="382">
        <v>45650</v>
      </c>
      <c r="H18" s="423"/>
      <c r="I18" s="423"/>
      <c r="J18" s="423"/>
      <c r="K18" s="423"/>
      <c r="L18" s="423"/>
      <c r="M18" s="423"/>
      <c r="N18" s="403"/>
    </row>
    <row r="19" spans="2:15" s="10" customFormat="1" ht="28.5" customHeight="1" thickBot="1" x14ac:dyDescent="0.4">
      <c r="B19" s="436"/>
      <c r="C19" s="384"/>
      <c r="D19" s="385"/>
      <c r="E19" s="437"/>
      <c r="F19" s="386" t="s">
        <v>1287</v>
      </c>
      <c r="G19" s="387">
        <v>45656</v>
      </c>
      <c r="H19" s="388"/>
      <c r="I19" s="388"/>
      <c r="J19" s="388"/>
      <c r="K19" s="388"/>
      <c r="L19" s="388"/>
      <c r="M19" s="388"/>
      <c r="N19" s="405"/>
    </row>
    <row r="20" spans="2:15" s="10" customFormat="1" ht="22" customHeight="1" thickTop="1" x14ac:dyDescent="0.35">
      <c r="B20" s="434">
        <f>B17+1</f>
        <v>5</v>
      </c>
      <c r="C20" s="425" t="s">
        <v>24</v>
      </c>
      <c r="D20" s="426" t="s">
        <v>1141</v>
      </c>
      <c r="E20" s="435" t="s">
        <v>91</v>
      </c>
      <c r="F20" s="427" t="s">
        <v>1285</v>
      </c>
      <c r="G20" s="428" t="s">
        <v>1</v>
      </c>
      <c r="H20" s="433"/>
      <c r="I20" s="433"/>
      <c r="J20" s="433"/>
      <c r="K20" s="433"/>
      <c r="L20" s="433"/>
      <c r="M20" s="433"/>
      <c r="N20" s="430" t="s">
        <v>1151</v>
      </c>
    </row>
    <row r="21" spans="2:15" s="10" customFormat="1" ht="31" customHeight="1" x14ac:dyDescent="0.35">
      <c r="B21" s="407"/>
      <c r="C21" s="359"/>
      <c r="D21" s="362"/>
      <c r="E21" s="363"/>
      <c r="F21" s="284" t="s">
        <v>1286</v>
      </c>
      <c r="G21" s="382">
        <v>45650</v>
      </c>
      <c r="H21" s="98"/>
      <c r="I21" s="98"/>
      <c r="J21" s="98"/>
      <c r="K21" s="98"/>
      <c r="L21" s="98"/>
      <c r="M21" s="98"/>
      <c r="N21" s="403"/>
    </row>
    <row r="22" spans="2:15" s="10" customFormat="1" ht="31" customHeight="1" thickBot="1" x14ac:dyDescent="0.4">
      <c r="B22" s="436"/>
      <c r="C22" s="384"/>
      <c r="D22" s="385"/>
      <c r="E22" s="437"/>
      <c r="F22" s="386" t="s">
        <v>1287</v>
      </c>
      <c r="G22" s="387">
        <v>45656</v>
      </c>
      <c r="H22" s="388"/>
      <c r="I22" s="388"/>
      <c r="J22" s="388"/>
      <c r="K22" s="388"/>
      <c r="L22" s="388"/>
      <c r="M22" s="388"/>
      <c r="N22" s="405"/>
    </row>
    <row r="23" spans="2:15" s="10" customFormat="1" ht="24" customHeight="1" thickTop="1" x14ac:dyDescent="0.35">
      <c r="B23" s="434">
        <f>B20+1</f>
        <v>6</v>
      </c>
      <c r="C23" s="425" t="s">
        <v>24</v>
      </c>
      <c r="D23" s="426" t="s">
        <v>1139</v>
      </c>
      <c r="E23" s="435" t="s">
        <v>66</v>
      </c>
      <c r="F23" s="427" t="s">
        <v>1285</v>
      </c>
      <c r="G23" s="428" t="s">
        <v>1</v>
      </c>
      <c r="H23" s="433"/>
      <c r="I23" s="433"/>
      <c r="J23" s="433"/>
      <c r="K23" s="433"/>
      <c r="L23" s="433"/>
      <c r="M23" s="433"/>
      <c r="N23" s="430" t="s">
        <v>1152</v>
      </c>
    </row>
    <row r="24" spans="2:15" s="10" customFormat="1" ht="27.5" customHeight="1" x14ac:dyDescent="0.35">
      <c r="B24" s="406"/>
      <c r="C24" s="359"/>
      <c r="D24" s="362"/>
      <c r="E24" s="360"/>
      <c r="F24" s="284" t="s">
        <v>1286</v>
      </c>
      <c r="G24" s="382">
        <v>45650</v>
      </c>
      <c r="H24" s="423"/>
      <c r="I24" s="423"/>
      <c r="J24" s="423"/>
      <c r="K24" s="423"/>
      <c r="L24" s="423"/>
      <c r="M24" s="423"/>
      <c r="N24" s="403"/>
    </row>
    <row r="25" spans="2:15" s="10" customFormat="1" ht="27.5" customHeight="1" thickBot="1" x14ac:dyDescent="0.4">
      <c r="B25" s="436"/>
      <c r="C25" s="384"/>
      <c r="D25" s="385"/>
      <c r="E25" s="437"/>
      <c r="F25" s="386" t="s">
        <v>1287</v>
      </c>
      <c r="G25" s="387">
        <v>45656</v>
      </c>
      <c r="H25" s="388"/>
      <c r="I25" s="388"/>
      <c r="J25" s="388"/>
      <c r="K25" s="388"/>
      <c r="L25" s="388"/>
      <c r="M25" s="388"/>
      <c r="N25" s="405"/>
    </row>
    <row r="26" spans="2:15" s="10" customFormat="1" ht="22" customHeight="1" thickTop="1" x14ac:dyDescent="0.35">
      <c r="B26" s="434">
        <f>B23+1</f>
        <v>7</v>
      </c>
      <c r="C26" s="439" t="s">
        <v>89</v>
      </c>
      <c r="D26" s="426" t="s">
        <v>1142</v>
      </c>
      <c r="E26" s="435" t="s">
        <v>40</v>
      </c>
      <c r="F26" s="427" t="s">
        <v>1285</v>
      </c>
      <c r="G26" s="428" t="s">
        <v>1</v>
      </c>
      <c r="H26" s="428" t="s">
        <v>1</v>
      </c>
      <c r="I26" s="428" t="s">
        <v>1</v>
      </c>
      <c r="J26" s="429"/>
      <c r="K26" s="428" t="s">
        <v>1</v>
      </c>
      <c r="L26" s="428" t="s">
        <v>1</v>
      </c>
      <c r="M26" s="428" t="s">
        <v>1</v>
      </c>
      <c r="N26" s="430" t="s">
        <v>1143</v>
      </c>
    </row>
    <row r="27" spans="2:15" s="10" customFormat="1" ht="29.5" customHeight="1" x14ac:dyDescent="0.35">
      <c r="B27" s="406"/>
      <c r="C27" s="438"/>
      <c r="D27" s="362"/>
      <c r="E27" s="360"/>
      <c r="F27" s="284" t="s">
        <v>1286</v>
      </c>
      <c r="G27" s="382">
        <v>45666</v>
      </c>
      <c r="H27" s="382">
        <v>45671</v>
      </c>
      <c r="I27" s="382">
        <v>45671</v>
      </c>
      <c r="J27" s="46"/>
      <c r="K27" s="382">
        <v>45671</v>
      </c>
      <c r="L27" s="382">
        <v>45672</v>
      </c>
      <c r="M27" s="382">
        <v>45673</v>
      </c>
      <c r="N27" s="403"/>
    </row>
    <row r="28" spans="2:15" s="10" customFormat="1" ht="29.5" customHeight="1" thickBot="1" x14ac:dyDescent="0.4">
      <c r="B28" s="436"/>
      <c r="C28" s="440"/>
      <c r="D28" s="385"/>
      <c r="E28" s="437"/>
      <c r="F28" s="386" t="s">
        <v>1287</v>
      </c>
      <c r="G28" s="441">
        <v>45670</v>
      </c>
      <c r="H28" s="441">
        <v>45671</v>
      </c>
      <c r="I28" s="441">
        <v>45671</v>
      </c>
      <c r="J28" s="442"/>
      <c r="K28" s="441">
        <v>45671</v>
      </c>
      <c r="L28" s="441">
        <v>45673</v>
      </c>
      <c r="M28" s="441">
        <v>45677</v>
      </c>
      <c r="N28" s="405"/>
    </row>
    <row r="29" spans="2:15" s="10" customFormat="1" ht="24" customHeight="1" thickTop="1" x14ac:dyDescent="0.35">
      <c r="B29" s="434">
        <f>B26+1</f>
        <v>8</v>
      </c>
      <c r="C29" s="439" t="s">
        <v>89</v>
      </c>
      <c r="D29" s="426" t="s">
        <v>1292</v>
      </c>
      <c r="E29" s="435" t="s">
        <v>1144</v>
      </c>
      <c r="F29" s="427" t="s">
        <v>1285</v>
      </c>
      <c r="G29" s="428" t="s">
        <v>1</v>
      </c>
      <c r="H29" s="428" t="s">
        <v>1</v>
      </c>
      <c r="I29" s="433"/>
      <c r="J29" s="433"/>
      <c r="K29" s="428" t="s">
        <v>1</v>
      </c>
      <c r="L29" s="428" t="s">
        <v>1</v>
      </c>
      <c r="M29" s="428" t="s">
        <v>1</v>
      </c>
      <c r="N29" s="430" t="s">
        <v>1293</v>
      </c>
      <c r="O29" s="242"/>
    </row>
    <row r="30" spans="2:15" s="10" customFormat="1" ht="28.5" customHeight="1" x14ac:dyDescent="0.35">
      <c r="B30" s="406"/>
      <c r="C30" s="438"/>
      <c r="D30" s="362"/>
      <c r="E30" s="360"/>
      <c r="F30" s="284" t="s">
        <v>1286</v>
      </c>
      <c r="G30" s="382">
        <v>45653</v>
      </c>
      <c r="H30" s="382">
        <v>45653</v>
      </c>
      <c r="I30" s="423"/>
      <c r="J30" s="423"/>
      <c r="K30" s="382">
        <v>45673</v>
      </c>
      <c r="L30" s="382">
        <v>45681</v>
      </c>
      <c r="M30" s="382">
        <v>45691</v>
      </c>
      <c r="N30" s="403"/>
      <c r="O30" s="242"/>
    </row>
    <row r="31" spans="2:15" s="10" customFormat="1" ht="30" customHeight="1" thickBot="1" x14ac:dyDescent="0.4">
      <c r="B31" s="436"/>
      <c r="C31" s="440"/>
      <c r="D31" s="385"/>
      <c r="E31" s="437"/>
      <c r="F31" s="386" t="s">
        <v>1287</v>
      </c>
      <c r="G31" s="387">
        <v>45653</v>
      </c>
      <c r="H31" s="387">
        <v>45656</v>
      </c>
      <c r="I31" s="388"/>
      <c r="J31" s="388"/>
      <c r="K31" s="387">
        <v>45681</v>
      </c>
      <c r="L31" s="387">
        <v>45691</v>
      </c>
      <c r="M31" s="387">
        <v>45693</v>
      </c>
      <c r="N31" s="405"/>
      <c r="O31" s="242"/>
    </row>
    <row r="32" spans="2:15" s="10" customFormat="1" ht="22.5" customHeight="1" thickTop="1" x14ac:dyDescent="0.35">
      <c r="B32" s="402">
        <f t="shared" ref="B32" si="0">B29+1</f>
        <v>9</v>
      </c>
      <c r="C32" s="359" t="s">
        <v>24</v>
      </c>
      <c r="D32" s="391" t="s">
        <v>1136</v>
      </c>
      <c r="E32" s="359" t="s">
        <v>69</v>
      </c>
      <c r="F32" s="244" t="s">
        <v>1285</v>
      </c>
      <c r="G32" s="383" t="s">
        <v>1</v>
      </c>
      <c r="H32" s="383" t="s">
        <v>1</v>
      </c>
      <c r="I32" s="383" t="s">
        <v>1</v>
      </c>
      <c r="J32" s="383" t="s">
        <v>1</v>
      </c>
      <c r="K32" s="383" t="s">
        <v>1</v>
      </c>
      <c r="L32" s="383" t="s">
        <v>1</v>
      </c>
      <c r="M32" s="383" t="s">
        <v>1</v>
      </c>
      <c r="N32" s="403" t="s">
        <v>1294</v>
      </c>
    </row>
    <row r="33" spans="2:14" s="10" customFormat="1" ht="28.5" customHeight="1" x14ac:dyDescent="0.35">
      <c r="B33" s="402"/>
      <c r="C33" s="359"/>
      <c r="D33" s="391"/>
      <c r="E33" s="359"/>
      <c r="F33" s="284" t="s">
        <v>1286</v>
      </c>
      <c r="G33" s="382">
        <v>45657</v>
      </c>
      <c r="H33" s="382">
        <v>45659</v>
      </c>
      <c r="I33" s="382">
        <v>45659</v>
      </c>
      <c r="J33" s="382">
        <v>45663</v>
      </c>
      <c r="K33" s="382">
        <v>45670</v>
      </c>
      <c r="L33" s="382">
        <v>45672</v>
      </c>
      <c r="M33" s="382">
        <v>45674</v>
      </c>
      <c r="N33" s="403"/>
    </row>
    <row r="34" spans="2:14" s="10" customFormat="1" ht="28.5" customHeight="1" thickBot="1" x14ac:dyDescent="0.4">
      <c r="B34" s="404"/>
      <c r="C34" s="384"/>
      <c r="D34" s="392"/>
      <c r="E34" s="384"/>
      <c r="F34" s="386" t="s">
        <v>1287</v>
      </c>
      <c r="G34" s="381">
        <v>45659</v>
      </c>
      <c r="H34" s="381">
        <v>45659</v>
      </c>
      <c r="I34" s="381">
        <v>45660</v>
      </c>
      <c r="J34" s="381">
        <v>45665</v>
      </c>
      <c r="K34" s="381">
        <v>45671</v>
      </c>
      <c r="L34" s="381">
        <v>45672</v>
      </c>
      <c r="M34" s="381">
        <v>45674</v>
      </c>
      <c r="N34" s="405"/>
    </row>
    <row r="35" spans="2:14" s="242" customFormat="1" ht="22.5" customHeight="1" thickTop="1" x14ac:dyDescent="0.35">
      <c r="B35" s="402">
        <f>B32+1</f>
        <v>10</v>
      </c>
      <c r="C35" s="359" t="s">
        <v>24</v>
      </c>
      <c r="D35" s="362" t="s">
        <v>1147</v>
      </c>
      <c r="E35" s="359" t="s">
        <v>69</v>
      </c>
      <c r="F35" s="244" t="s">
        <v>1285</v>
      </c>
      <c r="G35" s="383" t="s">
        <v>1</v>
      </c>
      <c r="H35" s="383" t="s">
        <v>1</v>
      </c>
      <c r="I35" s="383" t="s">
        <v>1</v>
      </c>
      <c r="J35" s="383" t="s">
        <v>1</v>
      </c>
      <c r="K35" s="423"/>
      <c r="L35" s="423"/>
      <c r="M35" s="423"/>
      <c r="N35" s="403" t="s">
        <v>1291</v>
      </c>
    </row>
    <row r="36" spans="2:14" s="242" customFormat="1" ht="28.5" customHeight="1" x14ac:dyDescent="0.35">
      <c r="B36" s="402"/>
      <c r="C36" s="359"/>
      <c r="D36" s="362"/>
      <c r="E36" s="359"/>
      <c r="F36" s="284" t="s">
        <v>1286</v>
      </c>
      <c r="G36" s="382">
        <v>45679</v>
      </c>
      <c r="H36" s="382">
        <v>45702</v>
      </c>
      <c r="I36" s="432">
        <v>45705</v>
      </c>
      <c r="J36" s="382">
        <v>45709</v>
      </c>
      <c r="K36" s="98"/>
      <c r="L36" s="98"/>
      <c r="M36" s="98"/>
      <c r="N36" s="403"/>
    </row>
    <row r="37" spans="2:14" s="242" customFormat="1" ht="28.5" customHeight="1" thickBot="1" x14ac:dyDescent="0.4">
      <c r="B37" s="404"/>
      <c r="C37" s="384"/>
      <c r="D37" s="385"/>
      <c r="E37" s="384"/>
      <c r="F37" s="386" t="s">
        <v>1287</v>
      </c>
      <c r="G37" s="431">
        <v>45702</v>
      </c>
      <c r="H37" s="431">
        <v>45705</v>
      </c>
      <c r="I37" s="431">
        <v>45709</v>
      </c>
      <c r="J37" s="431"/>
      <c r="K37" s="388"/>
      <c r="L37" s="388"/>
      <c r="M37" s="388"/>
      <c r="N37" s="405"/>
    </row>
    <row r="38" spans="2:14" s="242" customFormat="1" ht="24.5" customHeight="1" thickTop="1" x14ac:dyDescent="0.35">
      <c r="B38" s="424">
        <f>B35+1</f>
        <v>11</v>
      </c>
      <c r="C38" s="425" t="s">
        <v>24</v>
      </c>
      <c r="D38" s="426" t="s">
        <v>1153</v>
      </c>
      <c r="E38" s="425" t="s">
        <v>69</v>
      </c>
      <c r="F38" s="427" t="s">
        <v>1285</v>
      </c>
      <c r="G38" s="428" t="s">
        <v>1</v>
      </c>
      <c r="H38" s="428" t="s">
        <v>1</v>
      </c>
      <c r="I38" s="433"/>
      <c r="J38" s="433"/>
      <c r="K38" s="433"/>
      <c r="L38" s="433"/>
      <c r="M38" s="433"/>
      <c r="N38" s="430" t="s">
        <v>1154</v>
      </c>
    </row>
    <row r="39" spans="2:14" s="242" customFormat="1" ht="29" customHeight="1" x14ac:dyDescent="0.35">
      <c r="B39" s="402"/>
      <c r="C39" s="359"/>
      <c r="D39" s="362"/>
      <c r="E39" s="359"/>
      <c r="F39" s="284" t="s">
        <v>1286</v>
      </c>
      <c r="G39" s="382">
        <v>45660</v>
      </c>
      <c r="H39" s="382">
        <v>45666</v>
      </c>
      <c r="I39" s="98"/>
      <c r="J39" s="98"/>
      <c r="K39" s="98"/>
      <c r="L39" s="98"/>
      <c r="M39" s="98"/>
      <c r="N39" s="403"/>
    </row>
    <row r="40" spans="2:14" s="242" customFormat="1" ht="29" customHeight="1" thickBot="1" x14ac:dyDescent="0.4">
      <c r="B40" s="404"/>
      <c r="C40" s="384"/>
      <c r="D40" s="385"/>
      <c r="E40" s="384"/>
      <c r="F40" s="386" t="s">
        <v>1287</v>
      </c>
      <c r="G40" s="381">
        <v>45665</v>
      </c>
      <c r="H40" s="388"/>
      <c r="I40" s="388"/>
      <c r="J40" s="388"/>
      <c r="K40" s="388"/>
      <c r="L40" s="388"/>
      <c r="M40" s="388"/>
      <c r="N40" s="405"/>
    </row>
    <row r="41" spans="2:14" s="242" customFormat="1" ht="29" customHeight="1" thickTop="1" x14ac:dyDescent="0.35">
      <c r="B41" s="402">
        <f>B38+1</f>
        <v>12</v>
      </c>
      <c r="C41" s="391" t="s">
        <v>447</v>
      </c>
      <c r="D41" s="362" t="s">
        <v>1289</v>
      </c>
      <c r="E41" s="359" t="s">
        <v>1290</v>
      </c>
      <c r="F41" s="244" t="s">
        <v>1285</v>
      </c>
      <c r="G41" s="383" t="s">
        <v>1</v>
      </c>
      <c r="H41" s="383" t="s">
        <v>1</v>
      </c>
      <c r="I41" s="383" t="s">
        <v>1</v>
      </c>
      <c r="J41" s="423"/>
      <c r="K41" s="423"/>
      <c r="L41" s="423"/>
      <c r="M41" s="423"/>
      <c r="N41" s="403" t="s">
        <v>1295</v>
      </c>
    </row>
    <row r="42" spans="2:14" s="242" customFormat="1" ht="29" customHeight="1" x14ac:dyDescent="0.35">
      <c r="B42" s="402"/>
      <c r="C42" s="391"/>
      <c r="D42" s="362"/>
      <c r="E42" s="359"/>
      <c r="F42" s="284" t="s">
        <v>1286</v>
      </c>
      <c r="G42" s="389">
        <v>45708</v>
      </c>
      <c r="H42" s="389">
        <v>45709</v>
      </c>
      <c r="I42" s="389">
        <v>45712</v>
      </c>
      <c r="J42" s="98"/>
      <c r="K42" s="98"/>
      <c r="L42" s="98"/>
      <c r="M42" s="98"/>
      <c r="N42" s="403"/>
    </row>
    <row r="43" spans="2:14" s="242" customFormat="1" ht="29" customHeight="1" thickBot="1" x14ac:dyDescent="0.4">
      <c r="B43" s="408"/>
      <c r="C43" s="409"/>
      <c r="D43" s="410"/>
      <c r="E43" s="411"/>
      <c r="F43" s="412" t="s">
        <v>1287</v>
      </c>
      <c r="G43" s="443">
        <v>45713</v>
      </c>
      <c r="H43" s="443">
        <v>45712</v>
      </c>
      <c r="I43" s="443">
        <v>45712</v>
      </c>
      <c r="J43" s="413"/>
      <c r="K43" s="413"/>
      <c r="L43" s="413"/>
      <c r="M43" s="413"/>
      <c r="N43" s="414"/>
    </row>
    <row r="44" spans="2:14" s="242" customFormat="1" ht="28.5" customHeight="1" thickTop="1" x14ac:dyDescent="0.35">
      <c r="B44" s="246"/>
      <c r="C44" s="247"/>
      <c r="D44" s="248"/>
      <c r="E44" s="247"/>
      <c r="F44" s="247"/>
      <c r="G44" s="99"/>
      <c r="H44" s="99"/>
      <c r="I44" s="99"/>
      <c r="J44" s="99"/>
      <c r="K44" s="99"/>
      <c r="L44" s="99"/>
      <c r="M44" s="99"/>
      <c r="N44" s="245"/>
    </row>
    <row r="45" spans="2:14" x14ac:dyDescent="0.35">
      <c r="B45" s="73"/>
      <c r="C45" s="73"/>
      <c r="D45" s="74"/>
      <c r="E45" s="73"/>
      <c r="F45" s="73"/>
      <c r="G45" s="99"/>
      <c r="H45" s="99"/>
      <c r="I45" s="99"/>
      <c r="J45" s="99"/>
      <c r="K45" s="100"/>
      <c r="L45" s="100"/>
      <c r="N45" s="120"/>
    </row>
    <row r="46" spans="2:14" x14ac:dyDescent="0.35">
      <c r="B46" s="73"/>
      <c r="C46" s="73"/>
      <c r="D46" s="132" t="s">
        <v>72</v>
      </c>
      <c r="E46" s="73"/>
      <c r="F46" s="73"/>
      <c r="G46" s="99"/>
      <c r="H46" s="99"/>
      <c r="I46" s="99"/>
      <c r="J46" s="99"/>
      <c r="K46" s="100"/>
      <c r="N46" s="97"/>
    </row>
    <row r="47" spans="2:14" x14ac:dyDescent="0.35">
      <c r="B47" s="73"/>
      <c r="C47" s="73" t="s">
        <v>16</v>
      </c>
      <c r="D47" s="74" t="s">
        <v>1138</v>
      </c>
      <c r="E47" s="74"/>
      <c r="F47" s="74"/>
      <c r="N47" s="2" t="s">
        <v>86</v>
      </c>
    </row>
    <row r="48" spans="2:14" x14ac:dyDescent="0.35">
      <c r="B48" s="73"/>
      <c r="C48" s="121">
        <f>C47+1</f>
        <v>2</v>
      </c>
      <c r="D48" s="74" t="s">
        <v>1145</v>
      </c>
      <c r="E48" s="74"/>
      <c r="F48" s="74"/>
    </row>
    <row r="49" spans="2:14" x14ac:dyDescent="0.35">
      <c r="B49" s="73"/>
      <c r="C49" s="121">
        <f t="shared" ref="C49:C58" si="1">C48+1</f>
        <v>3</v>
      </c>
      <c r="D49" s="74" t="s">
        <v>1146</v>
      </c>
      <c r="E49" s="74"/>
      <c r="F49" s="74"/>
    </row>
    <row r="50" spans="2:14" x14ac:dyDescent="0.35">
      <c r="C50" s="121">
        <f t="shared" si="1"/>
        <v>4</v>
      </c>
      <c r="D50" s="74"/>
    </row>
    <row r="51" spans="2:14" x14ac:dyDescent="0.35">
      <c r="C51" s="121">
        <f t="shared" si="1"/>
        <v>5</v>
      </c>
      <c r="D51" s="107"/>
      <c r="H51" s="12" t="s">
        <v>108</v>
      </c>
      <c r="I51" s="12" t="s">
        <v>155</v>
      </c>
      <c r="J51" s="12" t="s">
        <v>72</v>
      </c>
      <c r="K51" s="12" t="s">
        <v>73</v>
      </c>
      <c r="L51" s="12" t="s">
        <v>74</v>
      </c>
    </row>
    <row r="52" spans="2:14" x14ac:dyDescent="0.35">
      <c r="C52" s="121">
        <f t="shared" si="1"/>
        <v>6</v>
      </c>
      <c r="D52" s="107"/>
      <c r="E52"/>
      <c r="F52"/>
      <c r="G52"/>
      <c r="H52" s="13" t="s">
        <v>118</v>
      </c>
      <c r="I52" s="13">
        <v>8</v>
      </c>
      <c r="J52" s="13">
        <v>1</v>
      </c>
      <c r="K52" s="67">
        <f>J52/I52</f>
        <v>0.125</v>
      </c>
      <c r="L52" s="12"/>
      <c r="M52" s="69"/>
      <c r="N52" s="85"/>
    </row>
    <row r="53" spans="2:14" s="10" customFormat="1" ht="19.5" customHeight="1" x14ac:dyDescent="0.35">
      <c r="C53" s="121">
        <f t="shared" si="1"/>
        <v>7</v>
      </c>
      <c r="D53" s="158"/>
      <c r="G53" s="91"/>
      <c r="H53" s="58" t="s">
        <v>97</v>
      </c>
      <c r="I53" s="24">
        <v>14</v>
      </c>
      <c r="J53" s="24">
        <v>2</v>
      </c>
      <c r="K53" s="92">
        <f>J53/I53</f>
        <v>0.14285714285714285</v>
      </c>
      <c r="L53" s="5"/>
    </row>
    <row r="54" spans="2:14" x14ac:dyDescent="0.35">
      <c r="C54" s="121">
        <f t="shared" si="1"/>
        <v>8</v>
      </c>
      <c r="D54" s="10"/>
      <c r="E54" s="10"/>
      <c r="F54" s="10"/>
      <c r="G54" s="68"/>
      <c r="N54"/>
    </row>
    <row r="55" spans="2:14" x14ac:dyDescent="0.35">
      <c r="C55" s="121">
        <f t="shared" si="1"/>
        <v>9</v>
      </c>
      <c r="D55" s="10"/>
      <c r="E55"/>
      <c r="F55"/>
      <c r="G55" s="68"/>
      <c r="H55" s="70" t="s">
        <v>122</v>
      </c>
      <c r="I55" s="70">
        <f>I53+I52</f>
        <v>22</v>
      </c>
      <c r="J55" s="70">
        <f>J53+J52</f>
        <v>3</v>
      </c>
      <c r="K55" s="71">
        <f>J55/I55</f>
        <v>0.13636363636363635</v>
      </c>
      <c r="L55" s="69"/>
      <c r="M55" s="72"/>
      <c r="N55"/>
    </row>
    <row r="56" spans="2:14" x14ac:dyDescent="0.35">
      <c r="C56" s="121">
        <f t="shared" si="1"/>
        <v>10</v>
      </c>
      <c r="D56"/>
      <c r="E56"/>
      <c r="F56"/>
      <c r="G56"/>
      <c r="N56"/>
    </row>
    <row r="57" spans="2:14" x14ac:dyDescent="0.35">
      <c r="C57" s="121">
        <f t="shared" si="1"/>
        <v>11</v>
      </c>
      <c r="D57" s="217"/>
      <c r="E57"/>
      <c r="F57"/>
      <c r="G57"/>
      <c r="N57"/>
    </row>
    <row r="58" spans="2:14" x14ac:dyDescent="0.35">
      <c r="C58" s="121">
        <f t="shared" si="1"/>
        <v>12</v>
      </c>
      <c r="D58" s="217"/>
      <c r="E58"/>
      <c r="F58"/>
      <c r="G58"/>
      <c r="N58"/>
    </row>
    <row r="59" spans="2:14" x14ac:dyDescent="0.35">
      <c r="C59" s="121">
        <f t="shared" ref="C59:C68" si="2">C58+1</f>
        <v>13</v>
      </c>
      <c r="D59"/>
      <c r="E59"/>
      <c r="F59"/>
      <c r="G59"/>
      <c r="N59"/>
    </row>
    <row r="60" spans="2:14" x14ac:dyDescent="0.35">
      <c r="C60" s="121">
        <f t="shared" si="2"/>
        <v>14</v>
      </c>
      <c r="D60"/>
      <c r="E60"/>
      <c r="F60"/>
      <c r="G60"/>
      <c r="N60"/>
    </row>
    <row r="61" spans="2:14" x14ac:dyDescent="0.35">
      <c r="C61" s="121">
        <f t="shared" si="2"/>
        <v>15</v>
      </c>
      <c r="D61"/>
      <c r="E61"/>
      <c r="F61"/>
      <c r="G61"/>
      <c r="N61"/>
    </row>
    <row r="62" spans="2:14" x14ac:dyDescent="0.35">
      <c r="C62" s="121">
        <f t="shared" si="2"/>
        <v>16</v>
      </c>
      <c r="D62"/>
      <c r="E62"/>
      <c r="F62"/>
      <c r="G62"/>
      <c r="N62"/>
    </row>
    <row r="63" spans="2:14" x14ac:dyDescent="0.35">
      <c r="C63" s="121">
        <f t="shared" si="2"/>
        <v>17</v>
      </c>
      <c r="D63"/>
    </row>
    <row r="64" spans="2:14" x14ac:dyDescent="0.35">
      <c r="C64" s="121">
        <f t="shared" si="2"/>
        <v>18</v>
      </c>
      <c r="D64" s="107"/>
    </row>
    <row r="65" spans="3:4" x14ac:dyDescent="0.35">
      <c r="C65" s="121">
        <f t="shared" si="2"/>
        <v>19</v>
      </c>
      <c r="D65" s="107"/>
    </row>
    <row r="66" spans="3:4" x14ac:dyDescent="0.35">
      <c r="C66" s="121">
        <f t="shared" si="2"/>
        <v>20</v>
      </c>
      <c r="D66" s="107"/>
    </row>
    <row r="67" spans="3:4" x14ac:dyDescent="0.35">
      <c r="C67" s="121">
        <f t="shared" si="2"/>
        <v>21</v>
      </c>
    </row>
    <row r="68" spans="3:4" x14ac:dyDescent="0.35">
      <c r="C68" s="121">
        <f t="shared" si="2"/>
        <v>22</v>
      </c>
    </row>
  </sheetData>
  <autoFilter ref="B5:N7" xr:uid="{89AE8A3F-363D-4ADD-A0CB-2DD2DA5EFD7A}"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68">
    <mergeCell ref="B41:B43"/>
    <mergeCell ref="C41:C43"/>
    <mergeCell ref="D41:D43"/>
    <mergeCell ref="E41:E43"/>
    <mergeCell ref="N41:N43"/>
    <mergeCell ref="B17:B19"/>
    <mergeCell ref="C26:C28"/>
    <mergeCell ref="E26:E28"/>
    <mergeCell ref="D26:D28"/>
    <mergeCell ref="N26:N28"/>
    <mergeCell ref="B20:B22"/>
    <mergeCell ref="C20:C22"/>
    <mergeCell ref="D20:D22"/>
    <mergeCell ref="E23:E25"/>
    <mergeCell ref="D23:D25"/>
    <mergeCell ref="B23:B25"/>
    <mergeCell ref="N5:N6"/>
    <mergeCell ref="B7:N7"/>
    <mergeCell ref="B5:B6"/>
    <mergeCell ref="C5:C6"/>
    <mergeCell ref="D5:D6"/>
    <mergeCell ref="G5:M5"/>
    <mergeCell ref="D17:D19"/>
    <mergeCell ref="E20:E22"/>
    <mergeCell ref="N17:N19"/>
    <mergeCell ref="N20:N22"/>
    <mergeCell ref="C29:C31"/>
    <mergeCell ref="D29:D31"/>
    <mergeCell ref="E17:E19"/>
    <mergeCell ref="N23:N25"/>
    <mergeCell ref="E29:E31"/>
    <mergeCell ref="N35:N37"/>
    <mergeCell ref="B26:B28"/>
    <mergeCell ref="B29:B31"/>
    <mergeCell ref="N29:N31"/>
    <mergeCell ref="B32:B34"/>
    <mergeCell ref="C32:C34"/>
    <mergeCell ref="D32:D34"/>
    <mergeCell ref="E32:E34"/>
    <mergeCell ref="N32:N34"/>
    <mergeCell ref="B38:B40"/>
    <mergeCell ref="C38:C40"/>
    <mergeCell ref="D38:D40"/>
    <mergeCell ref="E38:E40"/>
    <mergeCell ref="N38:N40"/>
    <mergeCell ref="E5:E6"/>
    <mergeCell ref="F5:F6"/>
    <mergeCell ref="B11:B13"/>
    <mergeCell ref="B35:B37"/>
    <mergeCell ref="C35:C37"/>
    <mergeCell ref="D35:D37"/>
    <mergeCell ref="E35:E37"/>
    <mergeCell ref="C11:C13"/>
    <mergeCell ref="D11:D13"/>
    <mergeCell ref="E11:E13"/>
    <mergeCell ref="B14:B16"/>
    <mergeCell ref="C14:C16"/>
    <mergeCell ref="D14:D16"/>
    <mergeCell ref="E14:E16"/>
    <mergeCell ref="C23:C25"/>
    <mergeCell ref="C17:C19"/>
    <mergeCell ref="N11:N13"/>
    <mergeCell ref="N14:N16"/>
    <mergeCell ref="B8:B10"/>
    <mergeCell ref="C8:C10"/>
    <mergeCell ref="D8:D10"/>
    <mergeCell ref="E8:E10"/>
    <mergeCell ref="N8:N10"/>
  </mergeCells>
  <phoneticPr fontId="5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2519-826C-44AA-B2A5-B13DD287ECDC}">
  <sheetPr>
    <tabColor rgb="FF92D050"/>
  </sheetPr>
  <dimension ref="B1:AB63"/>
  <sheetViews>
    <sheetView showGridLines="0" zoomScale="85" zoomScaleNormal="85" workbookViewId="0">
      <pane xSplit="6" ySplit="5" topLeftCell="G29" activePane="bottomRight" state="frozen"/>
      <selection pane="topRight" activeCell="G1" sqref="G1"/>
      <selection pane="bottomLeft" activeCell="A6" sqref="A6"/>
      <selection pane="bottomRight" activeCell="G6" sqref="G6"/>
    </sheetView>
  </sheetViews>
  <sheetFormatPr defaultRowHeight="14.5" x14ac:dyDescent="0.35"/>
  <cols>
    <col min="1" max="1" width="2.81640625" customWidth="1"/>
    <col min="2" max="2" width="2.36328125" customWidth="1"/>
    <col min="3" max="3" width="5.453125" customWidth="1"/>
    <col min="4" max="4" width="9.36328125" customWidth="1"/>
    <col min="5" max="5" width="5.6328125" customWidth="1"/>
    <col min="6" max="6" width="35.6328125" bestFit="1" customWidth="1"/>
    <col min="7" max="7" width="21.453125" customWidth="1"/>
    <col min="8" max="8" width="17.453125" bestFit="1" customWidth="1"/>
    <col min="9" max="9" width="12.90625" bestFit="1" customWidth="1"/>
    <col min="10" max="10" width="18" hidden="1" customWidth="1"/>
    <col min="11" max="11" width="60.81640625" customWidth="1"/>
    <col min="12" max="12" width="13.1796875" style="2" customWidth="1"/>
    <col min="13" max="14" width="8.7265625" style="2"/>
    <col min="15" max="17" width="8.81640625" style="2" customWidth="1"/>
  </cols>
  <sheetData>
    <row r="1" spans="2:28" x14ac:dyDescent="0.35">
      <c r="B1" s="1" t="s">
        <v>1155</v>
      </c>
      <c r="C1" s="1" t="s">
        <v>1156</v>
      </c>
    </row>
    <row r="2" spans="2:28" x14ac:dyDescent="0.35">
      <c r="C2" s="1" t="s">
        <v>154</v>
      </c>
    </row>
    <row r="4" spans="2:28" ht="18.75" customHeight="1" x14ac:dyDescent="0.35">
      <c r="C4" s="368" t="s">
        <v>4</v>
      </c>
      <c r="D4" s="368" t="s">
        <v>98</v>
      </c>
      <c r="E4" s="368" t="s">
        <v>99</v>
      </c>
      <c r="F4" s="368"/>
      <c r="G4" s="368" t="s">
        <v>100</v>
      </c>
      <c r="H4" s="369" t="s">
        <v>101</v>
      </c>
      <c r="I4" s="369"/>
      <c r="J4" s="367" t="s">
        <v>102</v>
      </c>
      <c r="K4" s="367" t="s">
        <v>96</v>
      </c>
      <c r="L4" s="370" t="s">
        <v>1157</v>
      </c>
      <c r="M4" s="367" t="s">
        <v>1158</v>
      </c>
      <c r="N4" s="367" t="s">
        <v>1159</v>
      </c>
      <c r="O4" s="367" t="s">
        <v>1160</v>
      </c>
      <c r="P4" s="367" t="s">
        <v>156</v>
      </c>
      <c r="Q4" s="367" t="s">
        <v>157</v>
      </c>
      <c r="R4" s="365" t="s">
        <v>89</v>
      </c>
      <c r="S4" s="365" t="s">
        <v>1161</v>
      </c>
      <c r="T4" s="365" t="s">
        <v>24</v>
      </c>
      <c r="U4" s="365" t="s">
        <v>447</v>
      </c>
      <c r="V4" s="365" t="s">
        <v>52</v>
      </c>
      <c r="W4" s="365" t="s">
        <v>1162</v>
      </c>
      <c r="Y4" s="365" t="s">
        <v>1163</v>
      </c>
      <c r="Z4" s="365" t="s">
        <v>1164</v>
      </c>
      <c r="AA4" s="365" t="s">
        <v>1165</v>
      </c>
      <c r="AB4" s="365" t="s">
        <v>1166</v>
      </c>
    </row>
    <row r="5" spans="2:28" s="108" customFormat="1" ht="24" customHeight="1" x14ac:dyDescent="0.35">
      <c r="C5" s="368"/>
      <c r="D5" s="368"/>
      <c r="E5" s="368"/>
      <c r="F5" s="368"/>
      <c r="G5" s="368"/>
      <c r="H5" s="109" t="s">
        <v>103</v>
      </c>
      <c r="I5" s="109" t="s">
        <v>104</v>
      </c>
      <c r="J5" s="367"/>
      <c r="K5" s="367"/>
      <c r="L5" s="371"/>
      <c r="M5" s="367"/>
      <c r="N5" s="367"/>
      <c r="O5" s="367"/>
      <c r="P5" s="367"/>
      <c r="Q5" s="367"/>
      <c r="R5" s="365"/>
      <c r="S5" s="365"/>
      <c r="T5" s="365"/>
      <c r="U5" s="365"/>
      <c r="V5" s="365"/>
      <c r="W5" s="365"/>
      <c r="Y5" s="365"/>
      <c r="Z5" s="365"/>
      <c r="AA5" s="365"/>
      <c r="AB5" s="365"/>
    </row>
    <row r="6" spans="2:28" s="110" customFormat="1" ht="17" customHeight="1" x14ac:dyDescent="0.35">
      <c r="C6" s="111">
        <v>1</v>
      </c>
      <c r="D6" s="356" t="s">
        <v>68</v>
      </c>
      <c r="E6" s="34">
        <v>1</v>
      </c>
      <c r="F6" s="50" t="s">
        <v>158</v>
      </c>
      <c r="G6" s="24" t="s">
        <v>1167</v>
      </c>
      <c r="H6" s="249">
        <v>45657</v>
      </c>
      <c r="I6" s="146">
        <v>46022</v>
      </c>
      <c r="J6" s="113"/>
      <c r="K6" s="114" t="s">
        <v>1168</v>
      </c>
      <c r="L6" s="115" t="s">
        <v>159</v>
      </c>
      <c r="M6" s="5" t="s">
        <v>447</v>
      </c>
      <c r="N6" s="5"/>
      <c r="O6" s="5">
        <v>1</v>
      </c>
      <c r="P6" s="5"/>
      <c r="Q6" s="5" t="s">
        <v>160</v>
      </c>
      <c r="R6" s="250">
        <f>COUNTIF($M$6:$N$48, "LH")</f>
        <v>16</v>
      </c>
      <c r="S6" s="250">
        <f>COUNTIF($M$6:$N$48, "VAD")</f>
        <v>5</v>
      </c>
      <c r="T6" s="250">
        <f>COUNTIF($M$6:$N$48, "ABE")</f>
        <v>20</v>
      </c>
      <c r="U6" s="250">
        <f>COUNTIF($M$6:$N$48, "RP")</f>
        <v>17</v>
      </c>
      <c r="V6" s="250">
        <f>COUNTIF($M$6:$N$48, "ANI")</f>
        <v>2</v>
      </c>
      <c r="W6" s="250">
        <f>COUNTIF($M$6:$N$48, "NS")</f>
        <v>1</v>
      </c>
      <c r="Y6" s="250">
        <f>COUNTIF($Q$6:$Q$48,"I")</f>
        <v>9</v>
      </c>
      <c r="Z6" s="250">
        <f>COUNTIF($Q$6:$Q$48,"II")</f>
        <v>20</v>
      </c>
      <c r="AA6" s="250">
        <f>COUNTIF($Q$6:$Q$48,"III")</f>
        <v>9</v>
      </c>
      <c r="AB6" s="250">
        <f>COUNTIF($Q$6:$Q$48,"IV")</f>
        <v>5</v>
      </c>
    </row>
    <row r="7" spans="2:28" s="110" customFormat="1" ht="29" x14ac:dyDescent="0.35">
      <c r="C7" s="251"/>
      <c r="D7" s="366"/>
      <c r="E7" s="34">
        <v>2</v>
      </c>
      <c r="F7" s="50" t="s">
        <v>143</v>
      </c>
      <c r="G7" s="24" t="s">
        <v>1169</v>
      </c>
      <c r="H7" s="113">
        <v>45212</v>
      </c>
      <c r="I7" s="146">
        <v>50040</v>
      </c>
      <c r="J7" s="113"/>
      <c r="K7" s="114" t="s">
        <v>1170</v>
      </c>
      <c r="L7" s="5" t="s">
        <v>162</v>
      </c>
      <c r="M7" s="5" t="s">
        <v>447</v>
      </c>
      <c r="N7" s="5"/>
      <c r="O7" s="5"/>
      <c r="P7" s="5">
        <v>1</v>
      </c>
      <c r="Q7" s="5" t="s">
        <v>163</v>
      </c>
    </row>
    <row r="8" spans="2:28" s="110" customFormat="1" ht="17" customHeight="1" x14ac:dyDescent="0.35">
      <c r="C8" s="64"/>
      <c r="D8" s="357"/>
      <c r="E8" s="34">
        <v>3</v>
      </c>
      <c r="F8" s="50" t="s">
        <v>161</v>
      </c>
      <c r="G8" s="24" t="s">
        <v>1171</v>
      </c>
      <c r="H8" s="116">
        <v>45467</v>
      </c>
      <c r="I8" s="146">
        <v>46022</v>
      </c>
      <c r="J8" s="113"/>
      <c r="K8" s="114" t="s">
        <v>1172</v>
      </c>
      <c r="L8" s="5" t="s">
        <v>162</v>
      </c>
      <c r="M8" s="5" t="s">
        <v>24</v>
      </c>
      <c r="N8" s="5"/>
      <c r="O8" s="5">
        <v>1</v>
      </c>
      <c r="P8" s="5"/>
      <c r="Q8" s="5" t="s">
        <v>163</v>
      </c>
    </row>
    <row r="9" spans="2:28" s="10" customFormat="1" ht="31.5" customHeight="1" x14ac:dyDescent="0.35">
      <c r="C9" s="297">
        <v>2</v>
      </c>
      <c r="D9" s="297" t="s">
        <v>105</v>
      </c>
      <c r="E9" s="34">
        <v>1</v>
      </c>
      <c r="F9" s="118" t="s">
        <v>1173</v>
      </c>
      <c r="G9" s="24" t="s">
        <v>1174</v>
      </c>
      <c r="H9" s="252">
        <v>44053</v>
      </c>
      <c r="I9" s="253">
        <v>46022</v>
      </c>
      <c r="J9" s="113"/>
      <c r="K9" s="149" t="s">
        <v>1175</v>
      </c>
      <c r="L9" s="5" t="s">
        <v>162</v>
      </c>
      <c r="M9" s="34" t="s">
        <v>24</v>
      </c>
      <c r="N9" s="34"/>
      <c r="O9" s="5"/>
      <c r="P9" s="5">
        <v>1</v>
      </c>
      <c r="Q9" s="5" t="s">
        <v>167</v>
      </c>
    </row>
    <row r="10" spans="2:28" s="10" customFormat="1" ht="29" x14ac:dyDescent="0.35">
      <c r="C10" s="364"/>
      <c r="D10" s="364"/>
      <c r="E10" s="34">
        <f>E9+1</f>
        <v>2</v>
      </c>
      <c r="F10" s="118" t="s">
        <v>168</v>
      </c>
      <c r="G10" s="24" t="s">
        <v>97</v>
      </c>
      <c r="H10" s="113">
        <v>45514</v>
      </c>
      <c r="I10" s="146">
        <v>46007</v>
      </c>
      <c r="J10" s="113"/>
      <c r="K10" s="149" t="s">
        <v>1176</v>
      </c>
      <c r="L10" s="5" t="s">
        <v>162</v>
      </c>
      <c r="M10" s="34" t="s">
        <v>89</v>
      </c>
      <c r="N10" s="34" t="s">
        <v>52</v>
      </c>
      <c r="O10" s="5"/>
      <c r="P10" s="148">
        <v>1</v>
      </c>
      <c r="Q10" s="5" t="s">
        <v>163</v>
      </c>
    </row>
    <row r="11" spans="2:28" s="10" customFormat="1" ht="58" x14ac:dyDescent="0.35">
      <c r="C11" s="364"/>
      <c r="D11" s="364"/>
      <c r="E11" s="34">
        <f t="shared" ref="E11:E16" si="0">E10+1</f>
        <v>3</v>
      </c>
      <c r="F11" s="118" t="s">
        <v>166</v>
      </c>
      <c r="G11" s="24" t="s">
        <v>1169</v>
      </c>
      <c r="H11" s="113">
        <v>44980</v>
      </c>
      <c r="I11" s="249">
        <v>45657</v>
      </c>
      <c r="J11" s="113"/>
      <c r="K11" s="149" t="s">
        <v>1177</v>
      </c>
      <c r="L11" s="5" t="s">
        <v>162</v>
      </c>
      <c r="M11" s="34" t="s">
        <v>447</v>
      </c>
      <c r="N11" s="34"/>
      <c r="O11" s="148"/>
      <c r="P11" s="148">
        <v>1</v>
      </c>
      <c r="Q11" s="5" t="s">
        <v>163</v>
      </c>
    </row>
    <row r="12" spans="2:28" s="10" customFormat="1" ht="58.5" customHeight="1" x14ac:dyDescent="0.35">
      <c r="C12" s="364"/>
      <c r="D12" s="364"/>
      <c r="E12" s="34">
        <f t="shared" si="0"/>
        <v>4</v>
      </c>
      <c r="F12" s="118" t="s">
        <v>1178</v>
      </c>
      <c r="G12" s="24" t="s">
        <v>1179</v>
      </c>
      <c r="H12" s="113">
        <v>44683</v>
      </c>
      <c r="I12" s="146">
        <v>45291</v>
      </c>
      <c r="J12" s="113"/>
      <c r="K12" s="149" t="s">
        <v>1180</v>
      </c>
      <c r="L12" s="115" t="s">
        <v>159</v>
      </c>
      <c r="M12" s="34" t="s">
        <v>24</v>
      </c>
      <c r="N12" s="34"/>
      <c r="O12" s="5">
        <v>1</v>
      </c>
      <c r="P12" s="147"/>
      <c r="Q12" s="5" t="s">
        <v>160</v>
      </c>
    </row>
    <row r="13" spans="2:28" s="10" customFormat="1" ht="17" customHeight="1" x14ac:dyDescent="0.35">
      <c r="C13" s="29"/>
      <c r="D13" s="29"/>
      <c r="E13" s="34">
        <f t="shared" si="0"/>
        <v>5</v>
      </c>
      <c r="F13" s="118" t="s">
        <v>106</v>
      </c>
      <c r="G13" s="24" t="s">
        <v>1171</v>
      </c>
      <c r="H13" s="116">
        <v>45467</v>
      </c>
      <c r="I13" s="116">
        <v>47848</v>
      </c>
      <c r="J13" s="113"/>
      <c r="K13" s="114" t="s">
        <v>1172</v>
      </c>
      <c r="L13" s="115" t="s">
        <v>162</v>
      </c>
      <c r="M13" s="34" t="s">
        <v>24</v>
      </c>
      <c r="N13" s="34"/>
      <c r="O13" s="5">
        <v>1</v>
      </c>
      <c r="P13" s="147"/>
      <c r="Q13" s="5" t="s">
        <v>163</v>
      </c>
    </row>
    <row r="14" spans="2:28" s="10" customFormat="1" ht="17" customHeight="1" x14ac:dyDescent="0.35">
      <c r="C14" s="29"/>
      <c r="D14" s="29"/>
      <c r="E14" s="34">
        <f t="shared" si="0"/>
        <v>6</v>
      </c>
      <c r="F14" s="118" t="s">
        <v>1181</v>
      </c>
      <c r="G14" s="24" t="s">
        <v>164</v>
      </c>
      <c r="H14" s="113">
        <v>44587</v>
      </c>
      <c r="I14" s="113">
        <v>48910</v>
      </c>
      <c r="J14" s="113"/>
      <c r="K14" s="114" t="s">
        <v>1182</v>
      </c>
      <c r="L14" s="115" t="s">
        <v>162</v>
      </c>
      <c r="M14" s="34" t="s">
        <v>447</v>
      </c>
      <c r="N14" s="34"/>
      <c r="O14" s="5">
        <v>1</v>
      </c>
      <c r="P14" s="147"/>
      <c r="Q14" s="5" t="s">
        <v>163</v>
      </c>
    </row>
    <row r="15" spans="2:28" s="10" customFormat="1" ht="17" customHeight="1" x14ac:dyDescent="0.35">
      <c r="C15" s="29"/>
      <c r="D15" s="29"/>
      <c r="E15" s="34">
        <f t="shared" si="0"/>
        <v>7</v>
      </c>
      <c r="F15" s="118" t="s">
        <v>1183</v>
      </c>
      <c r="G15" s="50" t="s">
        <v>97</v>
      </c>
      <c r="H15" s="113">
        <v>44607</v>
      </c>
      <c r="I15" s="249">
        <v>47734</v>
      </c>
      <c r="J15" s="113"/>
      <c r="K15" s="114" t="s">
        <v>1184</v>
      </c>
      <c r="L15" s="115" t="s">
        <v>162</v>
      </c>
      <c r="M15" s="34" t="s">
        <v>89</v>
      </c>
      <c r="N15" s="34" t="s">
        <v>24</v>
      </c>
      <c r="O15" s="5">
        <v>1</v>
      </c>
      <c r="P15" s="147"/>
      <c r="Q15" s="5" t="s">
        <v>163</v>
      </c>
    </row>
    <row r="16" spans="2:28" s="10" customFormat="1" ht="17" customHeight="1" x14ac:dyDescent="0.35">
      <c r="C16" s="29"/>
      <c r="D16" s="29"/>
      <c r="E16" s="34">
        <f t="shared" si="0"/>
        <v>8</v>
      </c>
      <c r="F16" s="118" t="s">
        <v>170</v>
      </c>
      <c r="G16" s="24" t="s">
        <v>164</v>
      </c>
      <c r="H16" s="113">
        <v>44176</v>
      </c>
      <c r="I16" s="113">
        <v>46568</v>
      </c>
      <c r="J16" s="113"/>
      <c r="K16" s="114" t="s">
        <v>1185</v>
      </c>
      <c r="L16" s="115" t="s">
        <v>162</v>
      </c>
      <c r="M16" s="34" t="s">
        <v>89</v>
      </c>
      <c r="N16" s="34" t="s">
        <v>24</v>
      </c>
      <c r="O16" s="5">
        <v>1</v>
      </c>
      <c r="P16" s="147"/>
      <c r="Q16" s="5" t="s">
        <v>163</v>
      </c>
    </row>
    <row r="17" spans="3:17" s="10" customFormat="1" ht="17" customHeight="1" x14ac:dyDescent="0.35">
      <c r="C17" s="297">
        <v>3</v>
      </c>
      <c r="D17" s="297" t="s">
        <v>95</v>
      </c>
      <c r="E17" s="5">
        <v>1</v>
      </c>
      <c r="F17" s="24" t="s">
        <v>90</v>
      </c>
      <c r="G17" s="24" t="s">
        <v>67</v>
      </c>
      <c r="H17" s="113">
        <v>42185</v>
      </c>
      <c r="I17" s="146">
        <v>45838</v>
      </c>
      <c r="J17" s="113"/>
      <c r="K17" s="114" t="s">
        <v>1186</v>
      </c>
      <c r="L17" s="115" t="s">
        <v>1187</v>
      </c>
      <c r="M17" s="5" t="s">
        <v>89</v>
      </c>
      <c r="N17" s="5" t="s">
        <v>447</v>
      </c>
      <c r="O17" s="5">
        <v>1</v>
      </c>
      <c r="P17" s="5"/>
      <c r="Q17" s="5" t="s">
        <v>163</v>
      </c>
    </row>
    <row r="18" spans="3:17" s="10" customFormat="1" ht="17" customHeight="1" x14ac:dyDescent="0.35">
      <c r="C18" s="364"/>
      <c r="D18" s="364"/>
      <c r="E18" s="5">
        <f>E17+1</f>
        <v>2</v>
      </c>
      <c r="F18" s="24" t="s">
        <v>1188</v>
      </c>
      <c r="G18" s="24" t="s">
        <v>67</v>
      </c>
      <c r="H18" s="113">
        <v>42185</v>
      </c>
      <c r="I18" s="146">
        <v>45838</v>
      </c>
      <c r="J18" s="113"/>
      <c r="K18" s="114" t="s">
        <v>1186</v>
      </c>
      <c r="L18" s="115" t="s">
        <v>1187</v>
      </c>
      <c r="M18" s="5" t="s">
        <v>24</v>
      </c>
      <c r="N18" s="5" t="s">
        <v>1162</v>
      </c>
      <c r="O18" s="5">
        <v>1</v>
      </c>
      <c r="P18" s="5"/>
      <c r="Q18" s="5" t="s">
        <v>163</v>
      </c>
    </row>
    <row r="19" spans="3:17" s="10" customFormat="1" ht="17" customHeight="1" x14ac:dyDescent="0.35">
      <c r="C19" s="364"/>
      <c r="D19" s="364"/>
      <c r="E19" s="5">
        <f t="shared" ref="E19:E23" si="1">E18+1</f>
        <v>3</v>
      </c>
      <c r="F19" s="24" t="s">
        <v>1137</v>
      </c>
      <c r="G19" s="24" t="s">
        <v>67</v>
      </c>
      <c r="H19" s="113">
        <v>42185</v>
      </c>
      <c r="I19" s="146">
        <v>45838</v>
      </c>
      <c r="J19" s="113"/>
      <c r="K19" s="114" t="s">
        <v>1186</v>
      </c>
      <c r="L19" s="115" t="s">
        <v>1187</v>
      </c>
      <c r="M19" s="5" t="s">
        <v>24</v>
      </c>
      <c r="N19" s="5" t="s">
        <v>447</v>
      </c>
      <c r="O19" s="5">
        <v>1</v>
      </c>
      <c r="P19" s="5"/>
      <c r="Q19" s="5" t="s">
        <v>163</v>
      </c>
    </row>
    <row r="20" spans="3:17" s="10" customFormat="1" ht="17" customHeight="1" x14ac:dyDescent="0.35">
      <c r="C20" s="364"/>
      <c r="D20" s="364"/>
      <c r="E20" s="5">
        <f t="shared" si="1"/>
        <v>4</v>
      </c>
      <c r="F20" s="24" t="s">
        <v>1189</v>
      </c>
      <c r="G20" s="24" t="s">
        <v>67</v>
      </c>
      <c r="H20" s="113">
        <v>42185</v>
      </c>
      <c r="I20" s="146">
        <v>45838</v>
      </c>
      <c r="J20" s="113"/>
      <c r="K20" s="114" t="s">
        <v>1186</v>
      </c>
      <c r="L20" s="115" t="s">
        <v>1187</v>
      </c>
      <c r="M20" s="5" t="s">
        <v>89</v>
      </c>
      <c r="N20" s="5" t="s">
        <v>1161</v>
      </c>
      <c r="O20" s="5">
        <v>1</v>
      </c>
      <c r="P20" s="5"/>
      <c r="Q20" s="5" t="s">
        <v>163</v>
      </c>
    </row>
    <row r="21" spans="3:17" s="10" customFormat="1" ht="17" customHeight="1" x14ac:dyDescent="0.35">
      <c r="C21" s="364"/>
      <c r="D21" s="364"/>
      <c r="E21" s="5">
        <f t="shared" si="1"/>
        <v>5</v>
      </c>
      <c r="F21" s="24" t="s">
        <v>1190</v>
      </c>
      <c r="G21" s="24" t="s">
        <v>67</v>
      </c>
      <c r="H21" s="113">
        <v>42185</v>
      </c>
      <c r="I21" s="146">
        <v>45838</v>
      </c>
      <c r="J21" s="113"/>
      <c r="K21" s="114" t="s">
        <v>1186</v>
      </c>
      <c r="L21" s="115" t="s">
        <v>1187</v>
      </c>
      <c r="M21" s="5" t="s">
        <v>89</v>
      </c>
      <c r="N21" s="5" t="s">
        <v>1161</v>
      </c>
      <c r="O21" s="5">
        <v>1</v>
      </c>
      <c r="P21" s="5"/>
      <c r="Q21" s="5" t="s">
        <v>163</v>
      </c>
    </row>
    <row r="22" spans="3:17" s="10" customFormat="1" ht="17" customHeight="1" x14ac:dyDescent="0.35">
      <c r="C22" s="364"/>
      <c r="D22" s="364"/>
      <c r="E22" s="5">
        <f>E21+1</f>
        <v>6</v>
      </c>
      <c r="F22" s="24" t="s">
        <v>1191</v>
      </c>
      <c r="G22" s="24" t="s">
        <v>67</v>
      </c>
      <c r="H22" s="113"/>
      <c r="I22" s="146"/>
      <c r="J22" s="113"/>
      <c r="K22" s="114" t="s">
        <v>1192</v>
      </c>
      <c r="L22" s="115" t="s">
        <v>162</v>
      </c>
      <c r="M22" s="5" t="s">
        <v>24</v>
      </c>
      <c r="N22" s="5" t="s">
        <v>447</v>
      </c>
      <c r="O22" s="5"/>
      <c r="P22" s="5">
        <v>1</v>
      </c>
      <c r="Q22" s="5" t="s">
        <v>163</v>
      </c>
    </row>
    <row r="23" spans="3:17" s="10" customFormat="1" ht="17" customHeight="1" x14ac:dyDescent="0.35">
      <c r="C23" s="298"/>
      <c r="D23" s="298"/>
      <c r="E23" s="5">
        <f t="shared" si="1"/>
        <v>7</v>
      </c>
      <c r="F23" s="24" t="s">
        <v>1193</v>
      </c>
      <c r="G23" s="24" t="s">
        <v>67</v>
      </c>
      <c r="H23" s="146">
        <v>44974</v>
      </c>
      <c r="I23" s="146">
        <v>48944</v>
      </c>
      <c r="J23" s="113"/>
      <c r="K23" s="114" t="s">
        <v>1192</v>
      </c>
      <c r="L23" s="115" t="s">
        <v>162</v>
      </c>
      <c r="M23" s="5" t="s">
        <v>24</v>
      </c>
      <c r="N23" s="5" t="s">
        <v>447</v>
      </c>
      <c r="O23" s="5"/>
      <c r="P23" s="5">
        <v>1</v>
      </c>
      <c r="Q23" s="5" t="s">
        <v>163</v>
      </c>
    </row>
    <row r="24" spans="3:17" s="10" customFormat="1" ht="17" customHeight="1" x14ac:dyDescent="0.35">
      <c r="C24" s="297">
        <v>4</v>
      </c>
      <c r="D24" s="297" t="s">
        <v>69</v>
      </c>
      <c r="E24" s="5">
        <v>1</v>
      </c>
      <c r="F24" s="24" t="s">
        <v>1194</v>
      </c>
      <c r="G24" s="24" t="s">
        <v>1195</v>
      </c>
      <c r="H24" s="249"/>
      <c r="I24" s="113"/>
      <c r="J24" s="113"/>
      <c r="K24" s="114" t="s">
        <v>1196</v>
      </c>
      <c r="L24" s="115" t="s">
        <v>159</v>
      </c>
      <c r="M24" s="5" t="s">
        <v>24</v>
      </c>
      <c r="N24" s="5"/>
      <c r="O24" s="5">
        <v>1</v>
      </c>
      <c r="P24" s="5"/>
      <c r="Q24" s="5" t="s">
        <v>160</v>
      </c>
    </row>
    <row r="25" spans="3:17" s="10" customFormat="1" ht="17" customHeight="1" x14ac:dyDescent="0.35">
      <c r="C25" s="364"/>
      <c r="D25" s="364"/>
      <c r="E25" s="5">
        <f>E24+1</f>
        <v>2</v>
      </c>
      <c r="F25" s="24" t="s">
        <v>1197</v>
      </c>
      <c r="G25" s="24" t="s">
        <v>97</v>
      </c>
      <c r="H25" s="249"/>
      <c r="I25" s="113"/>
      <c r="J25" s="113"/>
      <c r="K25" s="114" t="s">
        <v>1198</v>
      </c>
      <c r="L25" s="115" t="s">
        <v>159</v>
      </c>
      <c r="M25" s="5" t="s">
        <v>24</v>
      </c>
      <c r="N25" s="5" t="s">
        <v>52</v>
      </c>
      <c r="O25" s="5"/>
      <c r="P25" s="5">
        <v>1</v>
      </c>
      <c r="Q25" s="5" t="s">
        <v>165</v>
      </c>
    </row>
    <row r="26" spans="3:17" s="10" customFormat="1" ht="17" customHeight="1" x14ac:dyDescent="0.35">
      <c r="C26" s="364"/>
      <c r="D26" s="364"/>
      <c r="E26" s="5">
        <f t="shared" ref="E26:E29" si="2">E25+1</f>
        <v>3</v>
      </c>
      <c r="F26" s="24" t="s">
        <v>144</v>
      </c>
      <c r="G26" s="24" t="s">
        <v>1195</v>
      </c>
      <c r="H26" s="113"/>
      <c r="I26" s="113"/>
      <c r="J26" s="113"/>
      <c r="K26" s="114" t="s">
        <v>1199</v>
      </c>
      <c r="L26" s="115" t="s">
        <v>67</v>
      </c>
      <c r="M26" s="5" t="s">
        <v>89</v>
      </c>
      <c r="N26" s="5" t="s">
        <v>1161</v>
      </c>
      <c r="O26" s="5"/>
      <c r="P26" s="5">
        <v>1</v>
      </c>
      <c r="Q26" s="5" t="s">
        <v>167</v>
      </c>
    </row>
    <row r="27" spans="3:17" s="10" customFormat="1" ht="17" customHeight="1" x14ac:dyDescent="0.35">
      <c r="C27" s="364"/>
      <c r="D27" s="364"/>
      <c r="E27" s="5">
        <f t="shared" si="2"/>
        <v>4</v>
      </c>
      <c r="F27" s="24" t="s">
        <v>1200</v>
      </c>
      <c r="G27" s="24" t="s">
        <v>1195</v>
      </c>
      <c r="H27" s="113"/>
      <c r="I27" s="113"/>
      <c r="J27" s="113"/>
      <c r="K27" s="114" t="s">
        <v>1201</v>
      </c>
      <c r="L27" s="115" t="s">
        <v>67</v>
      </c>
      <c r="M27" s="5" t="s">
        <v>24</v>
      </c>
      <c r="N27" s="5"/>
      <c r="O27" s="254">
        <v>1</v>
      </c>
      <c r="P27" s="5"/>
      <c r="Q27" s="5" t="s">
        <v>160</v>
      </c>
    </row>
    <row r="28" spans="3:17" s="10" customFormat="1" ht="17" customHeight="1" x14ac:dyDescent="0.35">
      <c r="C28" s="364"/>
      <c r="D28" s="364"/>
      <c r="E28" s="5">
        <f t="shared" si="2"/>
        <v>5</v>
      </c>
      <c r="F28" s="24" t="s">
        <v>548</v>
      </c>
      <c r="G28" s="24" t="s">
        <v>1195</v>
      </c>
      <c r="H28" s="113"/>
      <c r="I28" s="113"/>
      <c r="J28" s="113"/>
      <c r="K28" s="114" t="s">
        <v>1202</v>
      </c>
      <c r="L28" s="115" t="s">
        <v>159</v>
      </c>
      <c r="M28" s="5" t="s">
        <v>24</v>
      </c>
      <c r="N28" s="5"/>
      <c r="O28" s="254">
        <v>1</v>
      </c>
      <c r="P28" s="5"/>
      <c r="Q28" s="5" t="s">
        <v>160</v>
      </c>
    </row>
    <row r="29" spans="3:17" s="10" customFormat="1" ht="17" customHeight="1" x14ac:dyDescent="0.35">
      <c r="C29" s="29"/>
      <c r="D29" s="29"/>
      <c r="E29" s="5">
        <f t="shared" si="2"/>
        <v>6</v>
      </c>
      <c r="F29" s="24" t="s">
        <v>90</v>
      </c>
      <c r="G29" s="24" t="s">
        <v>97</v>
      </c>
      <c r="H29" s="113"/>
      <c r="I29" s="113"/>
      <c r="J29" s="113"/>
      <c r="K29" s="114" t="s">
        <v>1203</v>
      </c>
      <c r="L29" s="115" t="s">
        <v>162</v>
      </c>
      <c r="M29" s="5" t="s">
        <v>89</v>
      </c>
      <c r="N29" s="5" t="s">
        <v>447</v>
      </c>
      <c r="O29" s="5"/>
      <c r="P29" s="5">
        <v>1</v>
      </c>
      <c r="Q29" s="5" t="s">
        <v>165</v>
      </c>
    </row>
    <row r="30" spans="3:17" s="10" customFormat="1" ht="17" customHeight="1" x14ac:dyDescent="0.35">
      <c r="C30" s="297">
        <v>5</v>
      </c>
      <c r="D30" s="297" t="s">
        <v>91</v>
      </c>
      <c r="E30" s="5">
        <v>1</v>
      </c>
      <c r="F30" s="24" t="s">
        <v>172</v>
      </c>
      <c r="G30" s="24" t="s">
        <v>57</v>
      </c>
      <c r="H30" s="113">
        <v>45450</v>
      </c>
      <c r="I30" s="146">
        <v>46022</v>
      </c>
      <c r="J30" s="113"/>
      <c r="K30" s="24" t="s">
        <v>1204</v>
      </c>
      <c r="L30" s="115" t="s">
        <v>162</v>
      </c>
      <c r="M30" s="5" t="s">
        <v>24</v>
      </c>
      <c r="N30" s="5" t="s">
        <v>1161</v>
      </c>
      <c r="O30" s="5">
        <v>1</v>
      </c>
      <c r="P30" s="5"/>
      <c r="Q30" s="5" t="s">
        <v>165</v>
      </c>
    </row>
    <row r="31" spans="3:17" s="10" customFormat="1" ht="17" customHeight="1" x14ac:dyDescent="0.35">
      <c r="C31" s="364"/>
      <c r="D31" s="364"/>
      <c r="E31" s="5">
        <f>E30+1</f>
        <v>2</v>
      </c>
      <c r="F31" s="24" t="s">
        <v>1205</v>
      </c>
      <c r="G31" s="24" t="s">
        <v>57</v>
      </c>
      <c r="H31" s="113">
        <v>45379</v>
      </c>
      <c r="I31" s="146">
        <v>46022</v>
      </c>
      <c r="J31" s="113"/>
      <c r="K31" s="24" t="s">
        <v>1206</v>
      </c>
      <c r="L31" s="115" t="s">
        <v>162</v>
      </c>
      <c r="M31" s="5" t="s">
        <v>24</v>
      </c>
      <c r="N31" s="5" t="s">
        <v>1161</v>
      </c>
      <c r="O31" s="5">
        <v>1</v>
      </c>
      <c r="P31" s="5"/>
      <c r="Q31" s="5" t="s">
        <v>165</v>
      </c>
    </row>
    <row r="32" spans="3:17" s="10" customFormat="1" ht="58" x14ac:dyDescent="0.35">
      <c r="C32" s="364"/>
      <c r="D32" s="364"/>
      <c r="E32" s="5">
        <f t="shared" ref="E32:E36" si="3">E31+1</f>
        <v>3</v>
      </c>
      <c r="F32" s="118" t="s">
        <v>166</v>
      </c>
      <c r="G32" s="24" t="s">
        <v>171</v>
      </c>
      <c r="H32" s="113">
        <v>45208</v>
      </c>
      <c r="I32" s="112">
        <v>47118</v>
      </c>
      <c r="J32" s="113"/>
      <c r="K32" s="149" t="s">
        <v>1177</v>
      </c>
      <c r="L32" s="115" t="s">
        <v>162</v>
      </c>
      <c r="M32" s="5" t="s">
        <v>447</v>
      </c>
      <c r="N32" s="5"/>
      <c r="O32" s="5"/>
      <c r="P32" s="5">
        <v>1</v>
      </c>
      <c r="Q32" s="5" t="s">
        <v>163</v>
      </c>
    </row>
    <row r="33" spans="3:17" s="10" customFormat="1" ht="17" customHeight="1" x14ac:dyDescent="0.35">
      <c r="C33" s="364"/>
      <c r="D33" s="364"/>
      <c r="E33" s="5">
        <f t="shared" si="3"/>
        <v>4</v>
      </c>
      <c r="F33" s="118" t="s">
        <v>1207</v>
      </c>
      <c r="G33" s="24" t="s">
        <v>57</v>
      </c>
      <c r="H33" s="113">
        <v>45614</v>
      </c>
      <c r="I33" s="249">
        <v>48944</v>
      </c>
      <c r="J33" s="255"/>
      <c r="K33" s="114" t="s">
        <v>1208</v>
      </c>
      <c r="L33" s="115" t="s">
        <v>159</v>
      </c>
      <c r="M33" s="5" t="s">
        <v>89</v>
      </c>
      <c r="N33" s="5"/>
      <c r="O33" s="254">
        <v>1</v>
      </c>
      <c r="P33" s="5"/>
      <c r="Q33" s="5" t="s">
        <v>160</v>
      </c>
    </row>
    <row r="34" spans="3:17" s="10" customFormat="1" ht="17" customHeight="1" x14ac:dyDescent="0.35">
      <c r="C34" s="364"/>
      <c r="D34" s="364"/>
      <c r="E34" s="5">
        <f t="shared" si="3"/>
        <v>5</v>
      </c>
      <c r="F34" s="118" t="s">
        <v>106</v>
      </c>
      <c r="G34" s="24" t="s">
        <v>1209</v>
      </c>
      <c r="H34" s="113">
        <v>44669</v>
      </c>
      <c r="I34" s="113">
        <v>45291</v>
      </c>
      <c r="J34" s="255"/>
      <c r="K34" s="114" t="s">
        <v>1172</v>
      </c>
      <c r="L34" s="115" t="s">
        <v>159</v>
      </c>
      <c r="M34" s="5" t="s">
        <v>24</v>
      </c>
      <c r="N34" s="5"/>
      <c r="O34" s="5">
        <v>1</v>
      </c>
      <c r="P34" s="5"/>
      <c r="Q34" s="5" t="s">
        <v>163</v>
      </c>
    </row>
    <row r="35" spans="3:17" s="10" customFormat="1" ht="17" customHeight="1" x14ac:dyDescent="0.35">
      <c r="C35" s="364"/>
      <c r="D35" s="364"/>
      <c r="E35" s="5">
        <f t="shared" si="3"/>
        <v>6</v>
      </c>
      <c r="F35" s="118" t="s">
        <v>623</v>
      </c>
      <c r="G35" s="24" t="s">
        <v>1169</v>
      </c>
      <c r="H35" s="116">
        <v>45624</v>
      </c>
      <c r="I35" s="116">
        <v>47483</v>
      </c>
      <c r="J35" s="255"/>
      <c r="K35" s="114" t="s">
        <v>1210</v>
      </c>
      <c r="L35" s="115" t="s">
        <v>162</v>
      </c>
      <c r="M35" s="5" t="s">
        <v>447</v>
      </c>
      <c r="N35" s="5"/>
      <c r="O35" s="5"/>
      <c r="P35" s="5">
        <v>1</v>
      </c>
      <c r="Q35" s="5" t="s">
        <v>165</v>
      </c>
    </row>
    <row r="36" spans="3:17" s="10" customFormat="1" x14ac:dyDescent="0.35">
      <c r="C36" s="298"/>
      <c r="D36" s="298"/>
      <c r="E36" s="5">
        <f t="shared" si="3"/>
        <v>7</v>
      </c>
      <c r="F36" s="118" t="s">
        <v>1211</v>
      </c>
      <c r="G36" s="24" t="s">
        <v>97</v>
      </c>
      <c r="H36" s="116"/>
      <c r="I36" s="116"/>
      <c r="J36" s="255"/>
      <c r="K36" s="114" t="s">
        <v>1212</v>
      </c>
      <c r="L36" s="115" t="s">
        <v>162</v>
      </c>
      <c r="M36" s="5" t="s">
        <v>24</v>
      </c>
      <c r="N36" s="5"/>
      <c r="O36" s="5"/>
      <c r="P36" s="5">
        <v>1</v>
      </c>
      <c r="Q36" s="5" t="s">
        <v>165</v>
      </c>
    </row>
    <row r="37" spans="3:17" s="10" customFormat="1" ht="58" x14ac:dyDescent="0.35">
      <c r="C37" s="297">
        <v>6</v>
      </c>
      <c r="D37" s="297" t="s">
        <v>40</v>
      </c>
      <c r="E37" s="5">
        <v>1</v>
      </c>
      <c r="F37" s="118" t="s">
        <v>166</v>
      </c>
      <c r="G37" s="24" t="s">
        <v>1179</v>
      </c>
      <c r="H37" s="113">
        <v>44922</v>
      </c>
      <c r="I37" s="146">
        <v>45657</v>
      </c>
      <c r="J37"/>
      <c r="K37" s="149" t="s">
        <v>1177</v>
      </c>
      <c r="L37" s="115" t="s">
        <v>162</v>
      </c>
      <c r="M37" s="5" t="s">
        <v>447</v>
      </c>
      <c r="N37" s="5"/>
      <c r="O37" s="5"/>
      <c r="P37" s="5">
        <v>1</v>
      </c>
      <c r="Q37" s="5" t="s">
        <v>163</v>
      </c>
    </row>
    <row r="38" spans="3:17" s="10" customFormat="1" ht="17" customHeight="1" x14ac:dyDescent="0.35">
      <c r="C38" s="364"/>
      <c r="D38" s="364"/>
      <c r="E38" s="5">
        <f>E37+1</f>
        <v>2</v>
      </c>
      <c r="F38" s="118" t="s">
        <v>1213</v>
      </c>
      <c r="G38" s="24" t="s">
        <v>1179</v>
      </c>
      <c r="H38" s="113">
        <v>44894</v>
      </c>
      <c r="I38" s="113">
        <v>47848</v>
      </c>
      <c r="J38"/>
      <c r="K38" s="24" t="s">
        <v>1214</v>
      </c>
      <c r="L38" s="115" t="s">
        <v>162</v>
      </c>
      <c r="M38" s="5" t="s">
        <v>89</v>
      </c>
      <c r="N38" s="5"/>
      <c r="O38" s="250"/>
      <c r="P38" s="5">
        <v>1</v>
      </c>
      <c r="Q38" s="5" t="s">
        <v>165</v>
      </c>
    </row>
    <row r="39" spans="3:17" s="10" customFormat="1" ht="17" customHeight="1" x14ac:dyDescent="0.35">
      <c r="C39" s="364"/>
      <c r="D39" s="364"/>
      <c r="E39" s="5">
        <f t="shared" ref="E39:E45" si="4">E38+1</f>
        <v>3</v>
      </c>
      <c r="F39" s="118" t="s">
        <v>1215</v>
      </c>
      <c r="G39" s="24" t="s">
        <v>169</v>
      </c>
      <c r="H39" s="256"/>
      <c r="I39" s="24"/>
      <c r="J39"/>
      <c r="K39" s="24" t="s">
        <v>1216</v>
      </c>
      <c r="L39" s="5" t="s">
        <v>1217</v>
      </c>
      <c r="M39" s="5" t="s">
        <v>89</v>
      </c>
      <c r="N39" s="5"/>
      <c r="O39" s="250"/>
      <c r="P39" s="5">
        <v>1</v>
      </c>
      <c r="Q39" s="5" t="s">
        <v>160</v>
      </c>
    </row>
    <row r="40" spans="3:17" s="10" customFormat="1" ht="17" customHeight="1" x14ac:dyDescent="0.35">
      <c r="C40" s="364"/>
      <c r="D40" s="364"/>
      <c r="E40" s="5">
        <f t="shared" si="4"/>
        <v>4</v>
      </c>
      <c r="F40" s="118" t="s">
        <v>147</v>
      </c>
      <c r="G40" s="24" t="s">
        <v>97</v>
      </c>
      <c r="H40" s="113">
        <v>44684</v>
      </c>
      <c r="I40" s="113">
        <v>47848</v>
      </c>
      <c r="J40"/>
      <c r="K40" s="24" t="s">
        <v>1218</v>
      </c>
      <c r="L40" s="115" t="s">
        <v>162</v>
      </c>
      <c r="M40" s="5" t="s">
        <v>447</v>
      </c>
      <c r="N40" s="5"/>
      <c r="O40" s="5">
        <v>1</v>
      </c>
      <c r="P40" s="250"/>
      <c r="Q40" s="5" t="s">
        <v>165</v>
      </c>
    </row>
    <row r="41" spans="3:17" s="10" customFormat="1" ht="17" customHeight="1" x14ac:dyDescent="0.35">
      <c r="C41" s="364"/>
      <c r="D41" s="364"/>
      <c r="E41" s="5">
        <f t="shared" si="4"/>
        <v>5</v>
      </c>
      <c r="F41" s="118" t="s">
        <v>1219</v>
      </c>
      <c r="G41" s="24" t="s">
        <v>1169</v>
      </c>
      <c r="H41" s="113"/>
      <c r="I41" s="113"/>
      <c r="J41"/>
      <c r="K41" s="24" t="s">
        <v>1220</v>
      </c>
      <c r="L41" s="115" t="s">
        <v>162</v>
      </c>
      <c r="M41" s="5" t="s">
        <v>89</v>
      </c>
      <c r="N41" s="5"/>
      <c r="O41" s="5">
        <v>1</v>
      </c>
      <c r="P41" s="250"/>
      <c r="Q41" s="5" t="s">
        <v>160</v>
      </c>
    </row>
    <row r="42" spans="3:17" s="10" customFormat="1" ht="17" customHeight="1" x14ac:dyDescent="0.35">
      <c r="C42" s="364"/>
      <c r="D42" s="364"/>
      <c r="E42" s="5">
        <f t="shared" si="4"/>
        <v>6</v>
      </c>
      <c r="F42" s="118" t="s">
        <v>623</v>
      </c>
      <c r="G42" s="24" t="s">
        <v>169</v>
      </c>
      <c r="H42" s="256"/>
      <c r="I42" s="24"/>
      <c r="J42"/>
      <c r="K42" s="24" t="s">
        <v>1221</v>
      </c>
      <c r="L42" s="5" t="s">
        <v>1217</v>
      </c>
      <c r="M42" s="5" t="s">
        <v>24</v>
      </c>
      <c r="N42" s="5"/>
      <c r="O42" s="250"/>
      <c r="P42" s="5">
        <v>1</v>
      </c>
      <c r="Q42" s="5" t="s">
        <v>167</v>
      </c>
    </row>
    <row r="43" spans="3:17" s="10" customFormat="1" ht="17" customHeight="1" x14ac:dyDescent="0.35">
      <c r="C43" s="364"/>
      <c r="D43" s="364"/>
      <c r="E43" s="5">
        <f t="shared" si="4"/>
        <v>7</v>
      </c>
      <c r="F43" s="118" t="s">
        <v>1222</v>
      </c>
      <c r="G43" s="24" t="s">
        <v>169</v>
      </c>
      <c r="H43" s="256"/>
      <c r="I43" s="24"/>
      <c r="J43"/>
      <c r="K43" s="24" t="s">
        <v>1223</v>
      </c>
      <c r="L43" s="5" t="s">
        <v>1217</v>
      </c>
      <c r="M43" s="5" t="s">
        <v>89</v>
      </c>
      <c r="N43" s="5" t="s">
        <v>447</v>
      </c>
      <c r="O43" s="250"/>
      <c r="P43" s="5">
        <v>1</v>
      </c>
      <c r="Q43" s="5" t="s">
        <v>167</v>
      </c>
    </row>
    <row r="44" spans="3:17" s="10" customFormat="1" ht="17" customHeight="1" x14ac:dyDescent="0.35">
      <c r="C44" s="364"/>
      <c r="D44" s="364"/>
      <c r="E44" s="5">
        <f t="shared" si="4"/>
        <v>8</v>
      </c>
      <c r="F44" s="118" t="s">
        <v>1224</v>
      </c>
      <c r="G44" s="24" t="s">
        <v>169</v>
      </c>
      <c r="H44" s="256"/>
      <c r="I44" s="24"/>
      <c r="J44"/>
      <c r="K44" s="24" t="s">
        <v>1225</v>
      </c>
      <c r="L44" s="5" t="s">
        <v>1217</v>
      </c>
      <c r="M44" s="5" t="s">
        <v>89</v>
      </c>
      <c r="N44" s="5" t="s">
        <v>447</v>
      </c>
      <c r="O44" s="250"/>
      <c r="P44" s="5">
        <v>1</v>
      </c>
      <c r="Q44" s="5" t="s">
        <v>167</v>
      </c>
    </row>
    <row r="45" spans="3:17" s="10" customFormat="1" ht="17" customHeight="1" x14ac:dyDescent="0.35">
      <c r="C45" s="298"/>
      <c r="D45" s="298"/>
      <c r="E45" s="5">
        <f t="shared" si="4"/>
        <v>9</v>
      </c>
      <c r="F45" s="118" t="s">
        <v>1226</v>
      </c>
      <c r="G45" s="24" t="s">
        <v>169</v>
      </c>
      <c r="H45" s="256"/>
      <c r="I45" s="24"/>
      <c r="J45"/>
      <c r="K45" s="24" t="s">
        <v>1227</v>
      </c>
      <c r="L45" s="5" t="s">
        <v>1217</v>
      </c>
      <c r="M45" s="5" t="s">
        <v>89</v>
      </c>
      <c r="N45" s="5" t="s">
        <v>447</v>
      </c>
      <c r="O45" s="250"/>
      <c r="P45" s="5">
        <v>1</v>
      </c>
      <c r="Q45" s="5" t="s">
        <v>163</v>
      </c>
    </row>
    <row r="46" spans="3:17" s="10" customFormat="1" ht="17" customHeight="1" x14ac:dyDescent="0.35">
      <c r="C46" s="297">
        <v>7</v>
      </c>
      <c r="D46" s="297" t="s">
        <v>1144</v>
      </c>
      <c r="E46" s="39">
        <v>1</v>
      </c>
      <c r="F46" s="257" t="s">
        <v>1213</v>
      </c>
      <c r="G46" s="196" t="s">
        <v>169</v>
      </c>
      <c r="H46" s="258"/>
      <c r="I46" s="196"/>
      <c r="J46"/>
      <c r="K46" s="196" t="s">
        <v>1228</v>
      </c>
      <c r="L46" s="39" t="s">
        <v>1217</v>
      </c>
      <c r="M46" s="39" t="s">
        <v>24</v>
      </c>
      <c r="N46" s="39"/>
      <c r="O46" s="39"/>
      <c r="P46" s="39">
        <v>1</v>
      </c>
      <c r="Q46" s="39" t="s">
        <v>163</v>
      </c>
    </row>
    <row r="47" spans="3:17" s="10" customFormat="1" ht="17" customHeight="1" x14ac:dyDescent="0.35">
      <c r="C47" s="364"/>
      <c r="D47" s="364"/>
      <c r="E47" s="39">
        <v>2</v>
      </c>
      <c r="F47" s="118" t="s">
        <v>1219</v>
      </c>
      <c r="G47" s="196" t="s">
        <v>97</v>
      </c>
      <c r="H47" s="258"/>
      <c r="I47" s="196"/>
      <c r="J47"/>
      <c r="K47" s="196" t="s">
        <v>1229</v>
      </c>
      <c r="L47" s="115" t="s">
        <v>162</v>
      </c>
      <c r="M47" s="39" t="s">
        <v>89</v>
      </c>
      <c r="N47" s="39"/>
      <c r="O47" s="39"/>
      <c r="P47" s="39">
        <v>1</v>
      </c>
      <c r="Q47" s="39" t="s">
        <v>165</v>
      </c>
    </row>
    <row r="48" spans="3:17" s="10" customFormat="1" ht="17" customHeight="1" x14ac:dyDescent="0.35">
      <c r="C48" s="298"/>
      <c r="D48" s="298"/>
      <c r="E48" s="5">
        <v>3</v>
      </c>
      <c r="F48" s="118" t="s">
        <v>1230</v>
      </c>
      <c r="G48" s="24" t="s">
        <v>97</v>
      </c>
      <c r="H48" s="252">
        <v>45145</v>
      </c>
      <c r="I48" s="252">
        <v>45291</v>
      </c>
      <c r="J48" s="13"/>
      <c r="K48" s="259" t="s">
        <v>1231</v>
      </c>
      <c r="L48" s="5"/>
      <c r="M48" s="5" t="s">
        <v>447</v>
      </c>
      <c r="N48" s="5"/>
      <c r="O48" s="250"/>
      <c r="P48" s="5">
        <v>1</v>
      </c>
      <c r="Q48" s="5" t="s">
        <v>160</v>
      </c>
    </row>
    <row r="49" spans="3:17" x14ac:dyDescent="0.35">
      <c r="C49" s="2"/>
      <c r="O49" s="117">
        <f>SUBTOTAL(9,O6:O48)</f>
        <v>21</v>
      </c>
      <c r="P49" s="117">
        <f>SUBTOTAL(9,P6:P48)</f>
        <v>22</v>
      </c>
      <c r="Q49" s="2">
        <f>O49+P49</f>
        <v>43</v>
      </c>
    </row>
    <row r="50" spans="3:17" x14ac:dyDescent="0.35">
      <c r="C50" s="2"/>
      <c r="D50" s="117" t="s">
        <v>107</v>
      </c>
      <c r="E50" s="117">
        <f>E47+E45+E36+E29+E23+E15+E8+2</f>
        <v>43</v>
      </c>
      <c r="F50" s="119" t="s">
        <v>108</v>
      </c>
      <c r="I50" s="150"/>
    </row>
    <row r="51" spans="3:17" x14ac:dyDescent="0.35">
      <c r="C51" s="2"/>
      <c r="E51" s="2">
        <f>O49</f>
        <v>21</v>
      </c>
      <c r="F51" s="10" t="str">
        <f>O4</f>
        <v>TARGET KPI</v>
      </c>
      <c r="O51" s="2" t="s">
        <v>155</v>
      </c>
      <c r="P51" s="2" t="s">
        <v>156</v>
      </c>
    </row>
    <row r="52" spans="3:17" x14ac:dyDescent="0.35">
      <c r="E52" s="2">
        <f>P49</f>
        <v>22</v>
      </c>
      <c r="F52" s="10" t="s">
        <v>1232</v>
      </c>
      <c r="M52" s="2" t="s">
        <v>1163</v>
      </c>
      <c r="O52" s="2">
        <v>7</v>
      </c>
      <c r="P52" s="2">
        <v>2</v>
      </c>
    </row>
    <row r="53" spans="3:17" x14ac:dyDescent="0.35">
      <c r="E53" s="2">
        <v>2</v>
      </c>
      <c r="F53" t="s">
        <v>1233</v>
      </c>
      <c r="M53" s="2" t="s">
        <v>1164</v>
      </c>
      <c r="O53" s="2">
        <v>12</v>
      </c>
      <c r="P53" s="2">
        <v>9</v>
      </c>
    </row>
    <row r="54" spans="3:17" x14ac:dyDescent="0.35">
      <c r="M54" s="2" t="s">
        <v>1165</v>
      </c>
      <c r="O54" s="2">
        <v>3</v>
      </c>
      <c r="P54" s="2">
        <v>5</v>
      </c>
    </row>
    <row r="55" spans="3:17" x14ac:dyDescent="0.35">
      <c r="D55" t="s">
        <v>1234</v>
      </c>
      <c r="E55" s="2">
        <f>17+1+4</f>
        <v>22</v>
      </c>
      <c r="F55" t="s">
        <v>1235</v>
      </c>
      <c r="M55" s="2" t="s">
        <v>1166</v>
      </c>
      <c r="O55" s="2">
        <v>0</v>
      </c>
      <c r="P55" s="2">
        <v>4</v>
      </c>
    </row>
    <row r="56" spans="3:17" x14ac:dyDescent="0.35">
      <c r="E56" s="2">
        <v>6</v>
      </c>
      <c r="F56" t="s">
        <v>118</v>
      </c>
      <c r="O56" s="2">
        <f>SUM(O52:O55)</f>
        <v>22</v>
      </c>
      <c r="P56" s="2">
        <f>SUM(P52:P55)</f>
        <v>20</v>
      </c>
      <c r="Q56" s="2">
        <f>O56+P56</f>
        <v>42</v>
      </c>
    </row>
    <row r="58" spans="3:17" x14ac:dyDescent="0.35">
      <c r="D58" t="s">
        <v>1236</v>
      </c>
      <c r="E58" s="2">
        <v>3</v>
      </c>
      <c r="F58" t="s">
        <v>1235</v>
      </c>
    </row>
    <row r="59" spans="3:17" x14ac:dyDescent="0.35">
      <c r="E59" s="2">
        <v>11</v>
      </c>
      <c r="F59" t="s">
        <v>118</v>
      </c>
    </row>
    <row r="61" spans="3:17" x14ac:dyDescent="0.35">
      <c r="D61" t="s">
        <v>1237</v>
      </c>
      <c r="F61" s="107">
        <f>E56+E59</f>
        <v>17</v>
      </c>
    </row>
    <row r="62" spans="3:17" x14ac:dyDescent="0.35">
      <c r="D62" t="s">
        <v>162</v>
      </c>
      <c r="F62" s="260">
        <f>E55+E58</f>
        <v>25</v>
      </c>
    </row>
    <row r="63" spans="3:17" x14ac:dyDescent="0.35">
      <c r="F63" s="261">
        <f>SUM(F61:F62)</f>
        <v>42</v>
      </c>
    </row>
  </sheetData>
  <mergeCells count="36">
    <mergeCell ref="N4:N5"/>
    <mergeCell ref="C24:C28"/>
    <mergeCell ref="D24:D28"/>
    <mergeCell ref="O4:O5"/>
    <mergeCell ref="P4:P5"/>
    <mergeCell ref="J4:J5"/>
    <mergeCell ref="M4:M5"/>
    <mergeCell ref="C4:C5"/>
    <mergeCell ref="D4:D5"/>
    <mergeCell ref="E4:F5"/>
    <mergeCell ref="G4:G5"/>
    <mergeCell ref="H4:I4"/>
    <mergeCell ref="K4:K5"/>
    <mergeCell ref="L4:L5"/>
    <mergeCell ref="AB4:AB5"/>
    <mergeCell ref="D6:D8"/>
    <mergeCell ref="C9:C12"/>
    <mergeCell ref="D9:D12"/>
    <mergeCell ref="C17:C23"/>
    <mergeCell ref="D17:D23"/>
    <mergeCell ref="V4:V5"/>
    <mergeCell ref="W4:W5"/>
    <mergeCell ref="Y4:Y5"/>
    <mergeCell ref="Z4:Z5"/>
    <mergeCell ref="AA4:AA5"/>
    <mergeCell ref="Q4:Q5"/>
    <mergeCell ref="R4:R5"/>
    <mergeCell ref="S4:S5"/>
    <mergeCell ref="T4:T5"/>
    <mergeCell ref="U4:U5"/>
    <mergeCell ref="C30:C36"/>
    <mergeCell ref="D30:D36"/>
    <mergeCell ref="C37:C45"/>
    <mergeCell ref="D37:D45"/>
    <mergeCell ref="C46:C48"/>
    <mergeCell ref="D46:D48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AB45-0DFC-4A49-A5FF-6970A95FD6D2}">
  <dimension ref="B1:O12"/>
  <sheetViews>
    <sheetView topLeftCell="A7" workbookViewId="0">
      <selection activeCell="F6" sqref="F6"/>
    </sheetView>
  </sheetViews>
  <sheetFormatPr defaultRowHeight="14.5" x14ac:dyDescent="0.35"/>
  <cols>
    <col min="1" max="1" width="4.26953125" customWidth="1"/>
    <col min="2" max="2" width="5.453125" customWidth="1"/>
    <col min="3" max="3" width="9.36328125" customWidth="1"/>
    <col min="4" max="4" width="5.6328125" customWidth="1"/>
    <col min="5" max="5" width="31.08984375" bestFit="1" customWidth="1"/>
    <col min="6" max="6" width="19.81640625" customWidth="1"/>
    <col min="7" max="7" width="17.453125" bestFit="1" customWidth="1"/>
    <col min="8" max="8" width="12.90625" bestFit="1" customWidth="1"/>
    <col min="9" max="9" width="18" hidden="1" customWidth="1"/>
    <col min="10" max="10" width="51.6328125" customWidth="1"/>
    <col min="11" max="11" width="13.26953125" style="2" customWidth="1"/>
    <col min="13" max="15" width="8.81640625" style="2" customWidth="1"/>
  </cols>
  <sheetData>
    <row r="1" spans="2:15" x14ac:dyDescent="0.35">
      <c r="B1" s="1" t="s">
        <v>173</v>
      </c>
    </row>
    <row r="2" spans="2:15" x14ac:dyDescent="0.35">
      <c r="B2" s="1" t="s">
        <v>154</v>
      </c>
    </row>
    <row r="4" spans="2:15" ht="18.75" customHeight="1" x14ac:dyDescent="0.35">
      <c r="B4" s="368" t="s">
        <v>4</v>
      </c>
      <c r="C4" s="368" t="s">
        <v>98</v>
      </c>
      <c r="D4" s="368" t="s">
        <v>99</v>
      </c>
      <c r="E4" s="368"/>
      <c r="F4" s="368" t="s">
        <v>100</v>
      </c>
      <c r="G4" s="369" t="s">
        <v>101</v>
      </c>
      <c r="H4" s="369"/>
      <c r="I4" s="367" t="s">
        <v>102</v>
      </c>
      <c r="J4" s="367" t="s">
        <v>96</v>
      </c>
      <c r="K4" s="370" t="s">
        <v>0</v>
      </c>
      <c r="L4" s="367" t="s">
        <v>5</v>
      </c>
      <c r="M4" s="367" t="s">
        <v>155</v>
      </c>
      <c r="N4" s="367" t="s">
        <v>156</v>
      </c>
      <c r="O4" s="367" t="s">
        <v>157</v>
      </c>
    </row>
    <row r="5" spans="2:15" s="108" customFormat="1" ht="24" customHeight="1" x14ac:dyDescent="0.35">
      <c r="B5" s="368"/>
      <c r="C5" s="368"/>
      <c r="D5" s="368"/>
      <c r="E5" s="368"/>
      <c r="F5" s="368"/>
      <c r="G5" s="109" t="s">
        <v>103</v>
      </c>
      <c r="H5" s="109" t="s">
        <v>104</v>
      </c>
      <c r="I5" s="367"/>
      <c r="J5" s="367"/>
      <c r="K5" s="371"/>
      <c r="L5" s="367"/>
      <c r="M5" s="367"/>
      <c r="N5" s="367"/>
      <c r="O5" s="367"/>
    </row>
    <row r="6" spans="2:15" s="110" customFormat="1" ht="159.5" x14ac:dyDescent="0.35">
      <c r="B6" s="111">
        <v>1</v>
      </c>
      <c r="C6" s="111" t="s">
        <v>95</v>
      </c>
      <c r="D6" s="34">
        <v>1</v>
      </c>
      <c r="E6" s="50" t="s">
        <v>174</v>
      </c>
      <c r="F6" s="24" t="s">
        <v>97</v>
      </c>
      <c r="G6" s="113">
        <v>42185</v>
      </c>
      <c r="H6" s="146">
        <v>45838</v>
      </c>
      <c r="I6" s="113"/>
      <c r="J6" s="114" t="s">
        <v>175</v>
      </c>
      <c r="K6" s="115"/>
      <c r="L6" s="5"/>
      <c r="M6" s="5"/>
      <c r="N6" s="5"/>
      <c r="O6" s="5"/>
    </row>
    <row r="7" spans="2:15" s="10" customFormat="1" ht="58" x14ac:dyDescent="0.35">
      <c r="B7" s="297">
        <v>2</v>
      </c>
      <c r="C7" s="297" t="s">
        <v>69</v>
      </c>
      <c r="D7" s="34">
        <v>1</v>
      </c>
      <c r="E7" s="118" t="s">
        <v>176</v>
      </c>
      <c r="F7" s="24"/>
      <c r="G7" s="113"/>
      <c r="H7" s="146"/>
      <c r="I7" s="113"/>
      <c r="J7" s="149" t="s">
        <v>177</v>
      </c>
      <c r="K7" s="5"/>
      <c r="L7" s="34"/>
      <c r="M7" s="5"/>
      <c r="N7" s="5"/>
      <c r="O7" s="5"/>
    </row>
    <row r="8" spans="2:15" s="10" customFormat="1" ht="29" x14ac:dyDescent="0.35">
      <c r="B8" s="298"/>
      <c r="C8" s="298"/>
      <c r="D8" s="34">
        <f>D7+1</f>
        <v>2</v>
      </c>
      <c r="E8" s="118" t="s">
        <v>178</v>
      </c>
      <c r="F8" s="24"/>
      <c r="G8" s="113"/>
      <c r="H8" s="146"/>
      <c r="I8" s="113"/>
      <c r="J8" s="58" t="s">
        <v>179</v>
      </c>
      <c r="K8" s="5"/>
      <c r="L8" s="34"/>
      <c r="M8" s="5"/>
      <c r="N8" s="147"/>
      <c r="O8" s="5"/>
    </row>
    <row r="9" spans="2:15" x14ac:dyDescent="0.35">
      <c r="B9" s="2"/>
      <c r="M9" s="2">
        <f>SUM(M6:M8)</f>
        <v>0</v>
      </c>
      <c r="N9" s="2">
        <f>SUM(N6:N8)</f>
        <v>0</v>
      </c>
    </row>
    <row r="10" spans="2:15" x14ac:dyDescent="0.35">
      <c r="B10" s="2"/>
      <c r="C10" s="117" t="s">
        <v>107</v>
      </c>
      <c r="D10" s="117">
        <v>3</v>
      </c>
      <c r="E10" s="119" t="s">
        <v>108</v>
      </c>
      <c r="H10" s="150"/>
    </row>
    <row r="11" spans="2:15" x14ac:dyDescent="0.35">
      <c r="B11" s="2"/>
      <c r="D11" s="2"/>
      <c r="E11" s="10"/>
    </row>
    <row r="12" spans="2:15" x14ac:dyDescent="0.35">
      <c r="B12" s="2"/>
      <c r="D12" s="2"/>
      <c r="E12" s="10"/>
    </row>
  </sheetData>
  <mergeCells count="14">
    <mergeCell ref="M4:M5"/>
    <mergeCell ref="N4:N5"/>
    <mergeCell ref="O4:O5"/>
    <mergeCell ref="B4:B5"/>
    <mergeCell ref="C4:C5"/>
    <mergeCell ref="D4:E5"/>
    <mergeCell ref="F4:F5"/>
    <mergeCell ref="G4:H4"/>
    <mergeCell ref="I4:I5"/>
    <mergeCell ref="B7:B8"/>
    <mergeCell ref="C7:C8"/>
    <mergeCell ref="J4:J5"/>
    <mergeCell ref="K4:K5"/>
    <mergeCell ref="L4:L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AA67-6847-485C-AE78-598C715A5220}">
  <sheetPr>
    <tabColor rgb="FFFF0000"/>
  </sheetPr>
  <dimension ref="B2:Q68"/>
  <sheetViews>
    <sheetView showGridLines="0" topLeftCell="A48" zoomScale="85" zoomScaleNormal="85" workbookViewId="0">
      <selection activeCell="D23" sqref="D23"/>
    </sheetView>
  </sheetViews>
  <sheetFormatPr defaultRowHeight="14.5" x14ac:dyDescent="0.35"/>
  <cols>
    <col min="1" max="1" width="1.81640625" customWidth="1"/>
    <col min="2" max="2" width="5.453125" style="2" customWidth="1"/>
    <col min="4" max="4" width="33.6328125" bestFit="1" customWidth="1"/>
    <col min="11" max="11" width="10.36328125" bestFit="1" customWidth="1"/>
    <col min="12" max="12" width="11" bestFit="1" customWidth="1"/>
  </cols>
  <sheetData>
    <row r="2" spans="2:16" hidden="1" x14ac:dyDescent="0.35">
      <c r="B2" s="108" t="s">
        <v>1238</v>
      </c>
      <c r="C2" s="262" t="s">
        <v>1239</v>
      </c>
      <c r="D2" s="263"/>
      <c r="E2" s="2"/>
      <c r="F2" s="2"/>
    </row>
    <row r="3" spans="2:16" ht="15.5" hidden="1" x14ac:dyDescent="0.35">
      <c r="B3" s="264"/>
      <c r="C3" s="265" t="s">
        <v>1240</v>
      </c>
      <c r="D3" s="266"/>
      <c r="E3" s="2"/>
      <c r="F3" s="2"/>
    </row>
    <row r="4" spans="2:16" hidden="1" x14ac:dyDescent="0.35">
      <c r="B4" s="125"/>
      <c r="C4" s="377" t="s">
        <v>4</v>
      </c>
      <c r="D4" s="377" t="s">
        <v>1241</v>
      </c>
      <c r="E4" s="377" t="s">
        <v>5</v>
      </c>
      <c r="F4" s="376" t="s">
        <v>1242</v>
      </c>
      <c r="G4" s="376"/>
      <c r="H4" s="376"/>
      <c r="I4" s="376"/>
      <c r="J4" s="374" t="s">
        <v>122</v>
      </c>
      <c r="K4" s="374" t="s">
        <v>1232</v>
      </c>
      <c r="L4" s="374" t="s">
        <v>1243</v>
      </c>
      <c r="M4" s="376" t="s">
        <v>1244</v>
      </c>
      <c r="N4" s="376"/>
      <c r="O4" s="376"/>
      <c r="P4" s="376"/>
    </row>
    <row r="5" spans="2:16" hidden="1" x14ac:dyDescent="0.35">
      <c r="B5" s="125"/>
      <c r="C5" s="377"/>
      <c r="D5" s="377"/>
      <c r="E5" s="377"/>
      <c r="F5" s="267" t="s">
        <v>1163</v>
      </c>
      <c r="G5" s="267" t="s">
        <v>1164</v>
      </c>
      <c r="H5" s="267" t="s">
        <v>1165</v>
      </c>
      <c r="I5" s="267" t="s">
        <v>1166</v>
      </c>
      <c r="J5" s="375"/>
      <c r="K5" s="375"/>
      <c r="L5" s="375"/>
      <c r="M5" s="267" t="s">
        <v>1163</v>
      </c>
      <c r="N5" s="267" t="s">
        <v>1164</v>
      </c>
      <c r="O5" s="267" t="s">
        <v>1165</v>
      </c>
      <c r="P5" s="267" t="s">
        <v>1166</v>
      </c>
    </row>
    <row r="6" spans="2:16" hidden="1" x14ac:dyDescent="0.35">
      <c r="B6" s="125"/>
      <c r="C6" s="268">
        <v>1</v>
      </c>
      <c r="D6" s="269" t="s">
        <v>1245</v>
      </c>
      <c r="E6" s="270" t="s">
        <v>24</v>
      </c>
      <c r="F6" s="268"/>
      <c r="G6" s="268"/>
      <c r="H6" s="268">
        <v>1</v>
      </c>
      <c r="I6" s="268"/>
      <c r="J6" s="268">
        <v>1</v>
      </c>
      <c r="K6" s="268">
        <v>1</v>
      </c>
      <c r="L6" s="12"/>
      <c r="M6" s="13"/>
      <c r="N6" s="13"/>
      <c r="O6" s="13"/>
      <c r="P6" s="13"/>
    </row>
    <row r="7" spans="2:16" hidden="1" x14ac:dyDescent="0.35">
      <c r="B7" s="125"/>
      <c r="C7" s="268">
        <v>2</v>
      </c>
      <c r="D7" s="269" t="s">
        <v>1246</v>
      </c>
      <c r="E7" s="270" t="s">
        <v>24</v>
      </c>
      <c r="F7" s="268"/>
      <c r="G7" s="268"/>
      <c r="H7" s="268">
        <v>1</v>
      </c>
      <c r="I7" s="268"/>
      <c r="J7" s="268">
        <v>1</v>
      </c>
      <c r="K7" s="268">
        <v>1</v>
      </c>
      <c r="L7" s="12"/>
      <c r="M7" s="13"/>
      <c r="N7" s="13"/>
      <c r="O7" s="13"/>
      <c r="P7" s="13"/>
    </row>
    <row r="8" spans="2:16" hidden="1" x14ac:dyDescent="0.35">
      <c r="B8" s="125"/>
      <c r="C8" s="271">
        <v>3</v>
      </c>
      <c r="D8" s="269" t="s">
        <v>1247</v>
      </c>
      <c r="E8" s="270" t="s">
        <v>89</v>
      </c>
      <c r="F8" s="268"/>
      <c r="G8" s="268">
        <v>1</v>
      </c>
      <c r="H8" s="268"/>
      <c r="I8" s="268"/>
      <c r="J8" s="268">
        <v>1</v>
      </c>
      <c r="K8" s="268"/>
      <c r="L8" s="12">
        <v>1</v>
      </c>
      <c r="M8" s="13"/>
      <c r="N8" s="13"/>
      <c r="O8" s="13"/>
      <c r="P8" s="13"/>
    </row>
    <row r="9" spans="2:16" hidden="1" x14ac:dyDescent="0.35">
      <c r="B9" s="125"/>
      <c r="C9" s="271">
        <v>4</v>
      </c>
      <c r="D9" s="269" t="s">
        <v>1248</v>
      </c>
      <c r="E9" s="270" t="s">
        <v>89</v>
      </c>
      <c r="F9" s="268"/>
      <c r="G9" s="268">
        <v>1</v>
      </c>
      <c r="H9" s="268"/>
      <c r="I9" s="268"/>
      <c r="J9" s="268">
        <v>1</v>
      </c>
      <c r="K9" s="268"/>
      <c r="L9" s="12">
        <v>1</v>
      </c>
      <c r="M9" s="13"/>
      <c r="N9" s="13"/>
      <c r="O9" s="13"/>
      <c r="P9" s="13"/>
    </row>
    <row r="10" spans="2:16" hidden="1" x14ac:dyDescent="0.35">
      <c r="B10" s="125"/>
      <c r="C10" s="271">
        <v>5</v>
      </c>
      <c r="D10" s="269" t="s">
        <v>1249</v>
      </c>
      <c r="E10" s="270" t="s">
        <v>89</v>
      </c>
      <c r="F10" s="268"/>
      <c r="G10" s="268">
        <v>1</v>
      </c>
      <c r="H10" s="268"/>
      <c r="I10" s="268"/>
      <c r="J10" s="268">
        <v>1</v>
      </c>
      <c r="K10" s="268"/>
      <c r="L10" s="268">
        <v>1</v>
      </c>
      <c r="M10" s="13"/>
      <c r="N10" s="13"/>
      <c r="O10" s="13"/>
      <c r="P10" s="13"/>
    </row>
    <row r="11" spans="2:16" hidden="1" x14ac:dyDescent="0.35">
      <c r="B11" s="125"/>
      <c r="C11" s="372" t="s">
        <v>122</v>
      </c>
      <c r="D11" s="373"/>
      <c r="E11" s="267"/>
      <c r="F11" s="267">
        <f>SUM(F6:F10)</f>
        <v>0</v>
      </c>
      <c r="G11" s="267">
        <f t="shared" ref="G11:P11" si="0">SUM(G6:G10)</f>
        <v>3</v>
      </c>
      <c r="H11" s="267">
        <f t="shared" si="0"/>
        <v>2</v>
      </c>
      <c r="I11" s="267">
        <f t="shared" si="0"/>
        <v>0</v>
      </c>
      <c r="J11" s="267">
        <f t="shared" si="0"/>
        <v>5</v>
      </c>
      <c r="K11" s="267">
        <f t="shared" si="0"/>
        <v>2</v>
      </c>
      <c r="L11" s="267">
        <f t="shared" si="0"/>
        <v>3</v>
      </c>
      <c r="M11" s="267">
        <f>SUM(M6:M10)</f>
        <v>0</v>
      </c>
      <c r="N11" s="267">
        <f t="shared" si="0"/>
        <v>0</v>
      </c>
      <c r="O11" s="267">
        <f t="shared" si="0"/>
        <v>0</v>
      </c>
      <c r="P11" s="267">
        <f t="shared" si="0"/>
        <v>0</v>
      </c>
    </row>
    <row r="12" spans="2:16" hidden="1" x14ac:dyDescent="0.35">
      <c r="B12" s="125"/>
      <c r="E12" s="2"/>
      <c r="F12" s="2"/>
    </row>
    <row r="13" spans="2:16" hidden="1" x14ac:dyDescent="0.35">
      <c r="B13" s="125"/>
      <c r="E13" s="2"/>
      <c r="F13" s="2"/>
    </row>
    <row r="14" spans="2:16" x14ac:dyDescent="0.35">
      <c r="B14" s="108" t="s">
        <v>1238</v>
      </c>
      <c r="C14" s="1" t="s">
        <v>1250</v>
      </c>
      <c r="E14" s="2"/>
      <c r="F14" s="2"/>
    </row>
    <row r="15" spans="2:16" ht="15.5" x14ac:dyDescent="0.35">
      <c r="B15" s="108"/>
      <c r="C15" s="265" t="s">
        <v>1251</v>
      </c>
      <c r="E15" s="2"/>
      <c r="F15" s="2"/>
    </row>
    <row r="16" spans="2:16" x14ac:dyDescent="0.35">
      <c r="B16" s="125"/>
      <c r="C16" s="377" t="s">
        <v>4</v>
      </c>
      <c r="D16" s="377" t="s">
        <v>1241</v>
      </c>
      <c r="E16" s="377" t="s">
        <v>5</v>
      </c>
      <c r="F16" s="376" t="s">
        <v>1242</v>
      </c>
      <c r="G16" s="376"/>
      <c r="H16" s="376"/>
      <c r="I16" s="376"/>
      <c r="J16" s="374" t="s">
        <v>122</v>
      </c>
      <c r="K16" s="374" t="s">
        <v>1232</v>
      </c>
      <c r="L16" s="374" t="s">
        <v>1243</v>
      </c>
      <c r="M16" s="376" t="s">
        <v>1244</v>
      </c>
      <c r="N16" s="376"/>
      <c r="O16" s="376"/>
      <c r="P16" s="376"/>
    </row>
    <row r="17" spans="2:16" x14ac:dyDescent="0.35">
      <c r="B17" s="125"/>
      <c r="C17" s="377"/>
      <c r="D17" s="377"/>
      <c r="E17" s="377"/>
      <c r="F17" s="267" t="s">
        <v>1163</v>
      </c>
      <c r="G17" s="267" t="s">
        <v>1164</v>
      </c>
      <c r="H17" s="267" t="s">
        <v>1165</v>
      </c>
      <c r="I17" s="267" t="s">
        <v>1166</v>
      </c>
      <c r="J17" s="375"/>
      <c r="K17" s="375"/>
      <c r="L17" s="375"/>
      <c r="M17" s="267" t="s">
        <v>1163</v>
      </c>
      <c r="N17" s="267" t="s">
        <v>1164</v>
      </c>
      <c r="O17" s="267" t="s">
        <v>1165</v>
      </c>
      <c r="P17" s="267" t="s">
        <v>1166</v>
      </c>
    </row>
    <row r="18" spans="2:16" x14ac:dyDescent="0.35">
      <c r="B18" s="125"/>
      <c r="C18" s="268">
        <v>1</v>
      </c>
      <c r="D18" s="269" t="s">
        <v>1252</v>
      </c>
      <c r="E18" s="270" t="s">
        <v>47</v>
      </c>
      <c r="F18" s="268">
        <v>1</v>
      </c>
      <c r="G18" s="268"/>
      <c r="H18" s="268"/>
      <c r="I18" s="268"/>
      <c r="J18" s="268">
        <f>SUM(F18:I18)</f>
        <v>1</v>
      </c>
      <c r="K18" s="268">
        <v>1</v>
      </c>
      <c r="L18" s="12"/>
      <c r="M18" s="13"/>
      <c r="N18" s="13"/>
      <c r="O18" s="13"/>
      <c r="P18" s="13"/>
    </row>
    <row r="19" spans="2:16" x14ac:dyDescent="0.35">
      <c r="B19" s="125"/>
      <c r="C19" s="268">
        <f>C18+1</f>
        <v>2</v>
      </c>
      <c r="D19" s="269" t="s">
        <v>1253</v>
      </c>
      <c r="E19" s="270" t="s">
        <v>89</v>
      </c>
      <c r="F19" s="268">
        <v>1</v>
      </c>
      <c r="G19" s="268"/>
      <c r="H19" s="268"/>
      <c r="I19" s="268"/>
      <c r="J19" s="268">
        <f>SUM(F19:I19)</f>
        <v>1</v>
      </c>
      <c r="K19" s="268">
        <v>1</v>
      </c>
      <c r="L19" s="12"/>
      <c r="M19" s="13"/>
      <c r="N19" s="13"/>
      <c r="O19" s="13"/>
      <c r="P19" s="13"/>
    </row>
    <row r="20" spans="2:16" x14ac:dyDescent="0.35">
      <c r="B20" s="125"/>
      <c r="C20" s="372" t="s">
        <v>122</v>
      </c>
      <c r="D20" s="373"/>
      <c r="E20" s="267"/>
      <c r="F20" s="267">
        <f>SUM(F18:F19)</f>
        <v>2</v>
      </c>
      <c r="G20" s="267">
        <f t="shared" ref="G20:P20" si="1">SUM(G18:G19)</f>
        <v>0</v>
      </c>
      <c r="H20" s="267">
        <f t="shared" si="1"/>
        <v>0</v>
      </c>
      <c r="I20" s="267">
        <f t="shared" si="1"/>
        <v>0</v>
      </c>
      <c r="J20" s="267">
        <f t="shared" si="1"/>
        <v>2</v>
      </c>
      <c r="K20" s="267">
        <f t="shared" si="1"/>
        <v>2</v>
      </c>
      <c r="L20" s="267">
        <f t="shared" si="1"/>
        <v>0</v>
      </c>
      <c r="M20" s="267">
        <f t="shared" si="1"/>
        <v>0</v>
      </c>
      <c r="N20" s="267">
        <f t="shared" si="1"/>
        <v>0</v>
      </c>
      <c r="O20" s="267">
        <f t="shared" si="1"/>
        <v>0</v>
      </c>
      <c r="P20" s="267">
        <f t="shared" si="1"/>
        <v>0</v>
      </c>
    </row>
    <row r="21" spans="2:16" x14ac:dyDescent="0.35">
      <c r="B21" s="125"/>
      <c r="E21" s="2"/>
      <c r="F21" s="2"/>
    </row>
    <row r="22" spans="2:16" x14ac:dyDescent="0.35">
      <c r="B22" s="125"/>
      <c r="E22" s="2"/>
      <c r="F22" s="2"/>
    </row>
    <row r="23" spans="2:16" x14ac:dyDescent="0.35">
      <c r="B23" s="125" t="s">
        <v>1254</v>
      </c>
      <c r="C23" s="1" t="s">
        <v>1255</v>
      </c>
      <c r="E23" s="2"/>
      <c r="F23" s="2"/>
    </row>
    <row r="24" spans="2:16" ht="15.5" x14ac:dyDescent="0.35">
      <c r="B24" s="125"/>
      <c r="C24" s="265" t="s">
        <v>1240</v>
      </c>
      <c r="E24" s="2"/>
      <c r="F24" s="2"/>
    </row>
    <row r="25" spans="2:16" x14ac:dyDescent="0.35">
      <c r="B25" s="125"/>
      <c r="C25" s="377" t="s">
        <v>4</v>
      </c>
      <c r="D25" s="377" t="s">
        <v>1241</v>
      </c>
      <c r="E25" s="377" t="s">
        <v>5</v>
      </c>
      <c r="F25" s="376" t="s">
        <v>1242</v>
      </c>
      <c r="G25" s="376"/>
      <c r="H25" s="376"/>
      <c r="I25" s="376"/>
      <c r="J25" s="374" t="s">
        <v>122</v>
      </c>
      <c r="K25" s="374" t="s">
        <v>1232</v>
      </c>
      <c r="L25" s="374" t="s">
        <v>1243</v>
      </c>
      <c r="M25" s="376" t="s">
        <v>1244</v>
      </c>
      <c r="N25" s="376"/>
      <c r="O25" s="376"/>
      <c r="P25" s="376"/>
    </row>
    <row r="26" spans="2:16" x14ac:dyDescent="0.35">
      <c r="B26" s="125"/>
      <c r="C26" s="377"/>
      <c r="D26" s="377"/>
      <c r="E26" s="377"/>
      <c r="F26" s="267" t="s">
        <v>1163</v>
      </c>
      <c r="G26" s="267" t="s">
        <v>1164</v>
      </c>
      <c r="H26" s="267" t="s">
        <v>1165</v>
      </c>
      <c r="I26" s="267" t="s">
        <v>1166</v>
      </c>
      <c r="J26" s="375"/>
      <c r="K26" s="375"/>
      <c r="L26" s="375"/>
      <c r="M26" s="267" t="s">
        <v>1163</v>
      </c>
      <c r="N26" s="267" t="s">
        <v>1164</v>
      </c>
      <c r="O26" s="267" t="s">
        <v>1165</v>
      </c>
      <c r="P26" s="267" t="s">
        <v>1166</v>
      </c>
    </row>
    <row r="27" spans="2:16" x14ac:dyDescent="0.35">
      <c r="B27" s="125"/>
      <c r="C27" s="268">
        <v>1</v>
      </c>
      <c r="D27" s="269" t="s">
        <v>1256</v>
      </c>
      <c r="E27" s="270" t="s">
        <v>1257</v>
      </c>
      <c r="F27" s="268"/>
      <c r="G27" s="268"/>
      <c r="H27" s="268"/>
      <c r="I27" s="268">
        <v>1</v>
      </c>
      <c r="J27" s="268">
        <f>SUM(F27:I27)</f>
        <v>1</v>
      </c>
      <c r="K27" s="268">
        <v>1</v>
      </c>
      <c r="L27" s="12"/>
      <c r="M27" s="268"/>
      <c r="N27" s="268"/>
      <c r="O27" s="268"/>
      <c r="P27" s="268"/>
    </row>
    <row r="28" spans="2:16" x14ac:dyDescent="0.35">
      <c r="B28" s="125"/>
      <c r="C28" s="268">
        <v>2</v>
      </c>
      <c r="D28" s="272" t="s">
        <v>1258</v>
      </c>
      <c r="E28" s="270" t="s">
        <v>52</v>
      </c>
      <c r="F28" s="268"/>
      <c r="G28" s="268">
        <v>1</v>
      </c>
      <c r="H28" s="268"/>
      <c r="I28" s="268"/>
      <c r="J28" s="268">
        <f t="shared" ref="J28:J30" si="2">SUM(F28:I28)</f>
        <v>1</v>
      </c>
      <c r="K28" s="268"/>
      <c r="L28" s="12">
        <v>1</v>
      </c>
      <c r="M28" s="268"/>
      <c r="N28" s="268"/>
      <c r="O28" s="268"/>
      <c r="P28" s="268"/>
    </row>
    <row r="29" spans="2:16" x14ac:dyDescent="0.35">
      <c r="B29" s="125"/>
      <c r="C29" s="268">
        <v>3</v>
      </c>
      <c r="D29" s="272" t="s">
        <v>1259</v>
      </c>
      <c r="E29" s="270" t="s">
        <v>1257</v>
      </c>
      <c r="F29" s="268"/>
      <c r="G29" s="268">
        <v>1</v>
      </c>
      <c r="H29" s="268"/>
      <c r="I29" s="268"/>
      <c r="J29" s="268">
        <f t="shared" si="2"/>
        <v>1</v>
      </c>
      <c r="K29" s="268"/>
      <c r="L29" s="12">
        <v>1</v>
      </c>
      <c r="M29" s="268"/>
      <c r="N29" s="268"/>
      <c r="O29" s="268"/>
      <c r="P29" s="268"/>
    </row>
    <row r="30" spans="2:16" x14ac:dyDescent="0.35">
      <c r="B30" s="125"/>
      <c r="C30" s="268">
        <v>4</v>
      </c>
      <c r="D30" s="272" t="s">
        <v>1260</v>
      </c>
      <c r="E30" s="270" t="s">
        <v>1257</v>
      </c>
      <c r="F30" s="268"/>
      <c r="G30" s="268">
        <v>1</v>
      </c>
      <c r="H30" s="268"/>
      <c r="I30" s="268"/>
      <c r="J30" s="268">
        <f t="shared" si="2"/>
        <v>1</v>
      </c>
      <c r="K30" s="268">
        <v>1</v>
      </c>
      <c r="L30" s="12"/>
      <c r="M30" s="268"/>
      <c r="N30" s="268"/>
      <c r="O30" s="268"/>
      <c r="P30" s="268"/>
    </row>
    <row r="31" spans="2:16" x14ac:dyDescent="0.35">
      <c r="B31" s="125"/>
      <c r="C31" s="372" t="s">
        <v>122</v>
      </c>
      <c r="D31" s="373"/>
      <c r="E31" s="267"/>
      <c r="F31" s="267">
        <f t="shared" ref="F31:P31" si="3">SUM(F27:F27)</f>
        <v>0</v>
      </c>
      <c r="G31" s="267">
        <f>SUM(G27:G30)</f>
        <v>3</v>
      </c>
      <c r="H31" s="267">
        <f t="shared" si="3"/>
        <v>0</v>
      </c>
      <c r="I31" s="267">
        <f>SUM(I27:I30)</f>
        <v>1</v>
      </c>
      <c r="J31" s="267">
        <f>SUM(J27:J30)</f>
        <v>4</v>
      </c>
      <c r="K31" s="267">
        <f>SUM(K27:K30)</f>
        <v>2</v>
      </c>
      <c r="L31" s="267">
        <f>SUM(L27:L30)</f>
        <v>2</v>
      </c>
      <c r="M31" s="267">
        <f t="shared" si="3"/>
        <v>0</v>
      </c>
      <c r="N31" s="267">
        <f t="shared" si="3"/>
        <v>0</v>
      </c>
      <c r="O31" s="267">
        <f t="shared" si="3"/>
        <v>0</v>
      </c>
      <c r="P31" s="267">
        <f t="shared" si="3"/>
        <v>0</v>
      </c>
    </row>
    <row r="32" spans="2:16" x14ac:dyDescent="0.35">
      <c r="B32" s="125"/>
      <c r="C32" s="273"/>
      <c r="D32" s="273"/>
      <c r="E32" s="273"/>
      <c r="F32" s="273"/>
      <c r="G32" s="273"/>
      <c r="H32" s="273"/>
      <c r="I32" s="273"/>
      <c r="J32" s="273"/>
      <c r="K32" s="273"/>
      <c r="L32" s="273"/>
    </row>
    <row r="33" spans="2:16" x14ac:dyDescent="0.35">
      <c r="B33" s="125"/>
      <c r="E33" s="2"/>
      <c r="F33" s="2"/>
    </row>
    <row r="34" spans="2:16" x14ac:dyDescent="0.35">
      <c r="B34" s="125" t="s">
        <v>1261</v>
      </c>
      <c r="C34" s="1" t="s">
        <v>1262</v>
      </c>
      <c r="E34" s="2"/>
      <c r="F34" s="2"/>
    </row>
    <row r="35" spans="2:16" ht="15.5" x14ac:dyDescent="0.35">
      <c r="B35" s="125"/>
      <c r="C35" s="265" t="s">
        <v>1263</v>
      </c>
      <c r="E35" s="2"/>
      <c r="F35" s="2"/>
    </row>
    <row r="36" spans="2:16" x14ac:dyDescent="0.35">
      <c r="B36" s="125"/>
      <c r="C36" s="377" t="s">
        <v>4</v>
      </c>
      <c r="D36" s="377" t="s">
        <v>1241</v>
      </c>
      <c r="E36" s="377" t="s">
        <v>5</v>
      </c>
      <c r="F36" s="376" t="s">
        <v>1242</v>
      </c>
      <c r="G36" s="376"/>
      <c r="H36" s="376"/>
      <c r="I36" s="376"/>
      <c r="J36" s="374" t="s">
        <v>122</v>
      </c>
      <c r="K36" s="374" t="s">
        <v>1232</v>
      </c>
      <c r="L36" s="374" t="s">
        <v>1243</v>
      </c>
      <c r="M36" s="376" t="s">
        <v>1244</v>
      </c>
      <c r="N36" s="376"/>
      <c r="O36" s="376"/>
      <c r="P36" s="376"/>
    </row>
    <row r="37" spans="2:16" x14ac:dyDescent="0.35">
      <c r="B37" s="125"/>
      <c r="C37" s="377"/>
      <c r="D37" s="377"/>
      <c r="E37" s="377"/>
      <c r="F37" s="267" t="s">
        <v>1163</v>
      </c>
      <c r="G37" s="267" t="s">
        <v>1164</v>
      </c>
      <c r="H37" s="267" t="s">
        <v>1165</v>
      </c>
      <c r="I37" s="267" t="s">
        <v>1166</v>
      </c>
      <c r="J37" s="375"/>
      <c r="K37" s="375"/>
      <c r="L37" s="375"/>
      <c r="M37" s="267" t="s">
        <v>1163</v>
      </c>
      <c r="N37" s="267" t="s">
        <v>1164</v>
      </c>
      <c r="O37" s="267" t="s">
        <v>1165</v>
      </c>
      <c r="P37" s="267" t="s">
        <v>1166</v>
      </c>
    </row>
    <row r="38" spans="2:16" x14ac:dyDescent="0.35">
      <c r="B38" s="125"/>
      <c r="C38" s="268">
        <v>1</v>
      </c>
      <c r="D38" s="269" t="s">
        <v>1264</v>
      </c>
      <c r="E38" s="270" t="s">
        <v>49</v>
      </c>
      <c r="F38" s="268"/>
      <c r="G38" s="268">
        <v>1</v>
      </c>
      <c r="H38" s="268"/>
      <c r="I38" s="268"/>
      <c r="J38" s="268">
        <f>SUM(F37:I38)</f>
        <v>1</v>
      </c>
      <c r="K38" s="268"/>
      <c r="L38" s="12">
        <v>1</v>
      </c>
      <c r="M38" s="13"/>
      <c r="N38" s="13"/>
      <c r="O38" s="13"/>
      <c r="P38" s="13"/>
    </row>
    <row r="39" spans="2:16" x14ac:dyDescent="0.35">
      <c r="B39" s="125"/>
      <c r="C39" s="271">
        <v>2</v>
      </c>
      <c r="D39" s="269" t="s">
        <v>1265</v>
      </c>
      <c r="E39" s="270" t="s">
        <v>1266</v>
      </c>
      <c r="F39" s="268"/>
      <c r="G39" s="268"/>
      <c r="H39" s="268"/>
      <c r="I39" s="268">
        <v>1</v>
      </c>
      <c r="J39" s="268">
        <f>SUM(F39:I39)</f>
        <v>1</v>
      </c>
      <c r="K39" s="268">
        <v>1</v>
      </c>
      <c r="L39" s="12"/>
      <c r="M39" s="13"/>
      <c r="N39" s="13"/>
      <c r="O39" s="13"/>
      <c r="P39" s="13"/>
    </row>
    <row r="40" spans="2:16" x14ac:dyDescent="0.35">
      <c r="B40" s="125"/>
      <c r="C40" s="271">
        <v>3</v>
      </c>
      <c r="D40" s="269" t="s">
        <v>1267</v>
      </c>
      <c r="E40" s="270" t="s">
        <v>1257</v>
      </c>
      <c r="F40" s="268"/>
      <c r="G40" s="268"/>
      <c r="H40" s="268"/>
      <c r="I40" s="268">
        <v>1</v>
      </c>
      <c r="J40" s="268">
        <f>SUM(F40:I40)</f>
        <v>1</v>
      </c>
      <c r="K40" s="268">
        <v>1</v>
      </c>
      <c r="L40" s="12"/>
      <c r="M40" s="13"/>
      <c r="N40" s="13"/>
      <c r="O40" s="13"/>
      <c r="P40" s="13"/>
    </row>
    <row r="41" spans="2:16" x14ac:dyDescent="0.35">
      <c r="B41" s="125"/>
      <c r="C41" s="372" t="s">
        <v>122</v>
      </c>
      <c r="D41" s="373"/>
      <c r="E41" s="267"/>
      <c r="F41" s="267">
        <f>SUM(F38:F38)</f>
        <v>0</v>
      </c>
      <c r="G41" s="267">
        <f>SUM(G38:G40)</f>
        <v>1</v>
      </c>
      <c r="H41" s="267">
        <f t="shared" ref="H41:P41" si="4">SUM(H38:H40)</f>
        <v>0</v>
      </c>
      <c r="I41" s="267">
        <f t="shared" si="4"/>
        <v>2</v>
      </c>
      <c r="J41" s="267">
        <f t="shared" si="4"/>
        <v>3</v>
      </c>
      <c r="K41" s="267">
        <f t="shared" si="4"/>
        <v>2</v>
      </c>
      <c r="L41" s="267">
        <f t="shared" si="4"/>
        <v>1</v>
      </c>
      <c r="M41" s="267">
        <f t="shared" si="4"/>
        <v>0</v>
      </c>
      <c r="N41" s="267">
        <f t="shared" si="4"/>
        <v>0</v>
      </c>
      <c r="O41" s="267">
        <f t="shared" si="4"/>
        <v>0</v>
      </c>
      <c r="P41" s="267">
        <f t="shared" si="4"/>
        <v>0</v>
      </c>
    </row>
    <row r="42" spans="2:16" x14ac:dyDescent="0.35">
      <c r="B42" s="125"/>
      <c r="E42" s="2"/>
      <c r="F42" s="2"/>
    </row>
    <row r="43" spans="2:16" x14ac:dyDescent="0.35">
      <c r="B43" s="125"/>
      <c r="E43" s="2"/>
      <c r="F43" s="2"/>
    </row>
    <row r="44" spans="2:16" s="100" customFormat="1" x14ac:dyDescent="0.35">
      <c r="B44" s="274" t="s">
        <v>1268</v>
      </c>
      <c r="C44" s="275" t="s">
        <v>1269</v>
      </c>
      <c r="E44" s="276"/>
      <c r="F44" s="276"/>
    </row>
    <row r="45" spans="2:16" s="100" customFormat="1" x14ac:dyDescent="0.35">
      <c r="B45" s="274"/>
      <c r="C45" s="377" t="s">
        <v>4</v>
      </c>
      <c r="D45" s="377" t="s">
        <v>1241</v>
      </c>
      <c r="E45" s="377" t="s">
        <v>5</v>
      </c>
      <c r="F45" s="376" t="s">
        <v>1242</v>
      </c>
      <c r="G45" s="376"/>
      <c r="H45" s="376"/>
      <c r="I45" s="376"/>
      <c r="J45" s="374" t="s">
        <v>122</v>
      </c>
      <c r="K45" s="374" t="s">
        <v>1232</v>
      </c>
      <c r="L45" s="374" t="s">
        <v>1243</v>
      </c>
      <c r="M45" s="376" t="s">
        <v>1244</v>
      </c>
      <c r="N45" s="376"/>
      <c r="O45" s="376"/>
      <c r="P45" s="376"/>
    </row>
    <row r="46" spans="2:16" s="100" customFormat="1" x14ac:dyDescent="0.35">
      <c r="B46" s="274"/>
      <c r="C46" s="377"/>
      <c r="D46" s="377"/>
      <c r="E46" s="377"/>
      <c r="F46" s="267" t="s">
        <v>1163</v>
      </c>
      <c r="G46" s="267" t="s">
        <v>1164</v>
      </c>
      <c r="H46" s="267" t="s">
        <v>1165</v>
      </c>
      <c r="I46" s="267" t="s">
        <v>1166</v>
      </c>
      <c r="J46" s="375"/>
      <c r="K46" s="375"/>
      <c r="L46" s="375"/>
      <c r="M46" s="267" t="s">
        <v>1163</v>
      </c>
      <c r="N46" s="267" t="s">
        <v>1164</v>
      </c>
      <c r="O46" s="267" t="s">
        <v>1165</v>
      </c>
      <c r="P46" s="267" t="s">
        <v>1166</v>
      </c>
    </row>
    <row r="47" spans="2:16" s="100" customFormat="1" x14ac:dyDescent="0.35">
      <c r="B47" s="274"/>
      <c r="C47" s="270">
        <v>1</v>
      </c>
      <c r="D47" s="277" t="s">
        <v>1270</v>
      </c>
      <c r="E47" s="270" t="s">
        <v>1161</v>
      </c>
      <c r="F47" s="270"/>
      <c r="G47" s="278">
        <v>0.3</v>
      </c>
      <c r="H47" s="270"/>
      <c r="I47" s="270"/>
      <c r="J47" s="279">
        <f>SUM(F47:I47)</f>
        <v>0.3</v>
      </c>
      <c r="K47" s="270"/>
      <c r="L47" s="280">
        <v>0.3</v>
      </c>
      <c r="M47" s="270"/>
      <c r="N47" s="270"/>
      <c r="O47" s="270"/>
      <c r="P47" s="270"/>
    </row>
    <row r="48" spans="2:16" s="100" customFormat="1" x14ac:dyDescent="0.35">
      <c r="B48" s="274"/>
      <c r="C48" s="270">
        <v>2</v>
      </c>
      <c r="D48" s="277" t="s">
        <v>1271</v>
      </c>
      <c r="E48" s="270" t="s">
        <v>1161</v>
      </c>
      <c r="F48" s="270"/>
      <c r="G48" s="270"/>
      <c r="H48" s="278">
        <v>0.3</v>
      </c>
      <c r="I48" s="270"/>
      <c r="J48" s="279">
        <f t="shared" ref="J48:J49" si="5">SUM(F48:I48)</f>
        <v>0.3</v>
      </c>
      <c r="K48" s="270"/>
      <c r="L48" s="280">
        <v>0.3</v>
      </c>
      <c r="M48" s="270"/>
      <c r="N48" s="270"/>
      <c r="O48" s="270"/>
      <c r="P48" s="270"/>
    </row>
    <row r="49" spans="2:17" s="100" customFormat="1" x14ac:dyDescent="0.35">
      <c r="B49" s="274"/>
      <c r="C49" s="270">
        <v>3</v>
      </c>
      <c r="D49" s="281" t="s">
        <v>1272</v>
      </c>
      <c r="E49" s="270" t="s">
        <v>1161</v>
      </c>
      <c r="F49" s="270"/>
      <c r="G49" s="270"/>
      <c r="H49" s="270"/>
      <c r="I49" s="278">
        <v>0.3</v>
      </c>
      <c r="J49" s="279">
        <f t="shared" si="5"/>
        <v>0.3</v>
      </c>
      <c r="K49" s="270"/>
      <c r="L49" s="280">
        <v>0.3</v>
      </c>
      <c r="M49" s="270"/>
      <c r="N49" s="270"/>
      <c r="O49" s="270"/>
      <c r="P49" s="270"/>
    </row>
    <row r="50" spans="2:17" s="100" customFormat="1" x14ac:dyDescent="0.35">
      <c r="B50" s="274"/>
      <c r="C50" s="378" t="s">
        <v>122</v>
      </c>
      <c r="D50" s="379"/>
      <c r="E50" s="282"/>
      <c r="F50" s="282">
        <f>SUM(F47:F48)</f>
        <v>0</v>
      </c>
      <c r="G50" s="283">
        <f t="shared" ref="G50:H50" si="6">SUM(G47:G48)</f>
        <v>0.3</v>
      </c>
      <c r="H50" s="283">
        <f t="shared" si="6"/>
        <v>0.3</v>
      </c>
      <c r="I50" s="283">
        <f>SUM(I47:I49)</f>
        <v>0.3</v>
      </c>
      <c r="J50" s="283">
        <f>SUM(J47:J49)</f>
        <v>0.89999999999999991</v>
      </c>
      <c r="K50" s="282">
        <f>SUM(K47:K49)</f>
        <v>0</v>
      </c>
      <c r="L50" s="283">
        <f>SUM(L47:L49)</f>
        <v>0.89999999999999991</v>
      </c>
      <c r="M50" s="282">
        <f>SUM(M47:M48)</f>
        <v>0</v>
      </c>
      <c r="N50" s="282">
        <f t="shared" ref="N50:P50" si="7">SUM(N47:N48)</f>
        <v>0</v>
      </c>
      <c r="O50" s="282">
        <f t="shared" si="7"/>
        <v>0</v>
      </c>
      <c r="P50" s="282">
        <f t="shared" si="7"/>
        <v>0</v>
      </c>
    </row>
    <row r="51" spans="2:17" s="100" customFormat="1" x14ac:dyDescent="0.35">
      <c r="B51" s="274"/>
      <c r="C51" s="273"/>
      <c r="D51" s="273"/>
      <c r="E51" s="273"/>
      <c r="F51" s="273"/>
      <c r="G51" s="273"/>
      <c r="H51" s="273"/>
      <c r="I51" s="273"/>
      <c r="J51" s="273"/>
      <c r="K51" s="273"/>
      <c r="L51" s="273"/>
      <c r="M51" s="273"/>
      <c r="N51" s="273"/>
      <c r="O51" s="273"/>
      <c r="P51" s="273"/>
    </row>
    <row r="52" spans="2:17" x14ac:dyDescent="0.35">
      <c r="B52" s="125"/>
      <c r="E52" s="2"/>
      <c r="F52" s="2"/>
    </row>
    <row r="53" spans="2:17" x14ac:dyDescent="0.35">
      <c r="B53" s="125" t="s">
        <v>1273</v>
      </c>
      <c r="C53" s="1" t="s">
        <v>1274</v>
      </c>
      <c r="E53" s="2"/>
      <c r="F53" s="2"/>
    </row>
    <row r="54" spans="2:17" x14ac:dyDescent="0.35">
      <c r="B54" s="125"/>
      <c r="C54" s="377" t="s">
        <v>4</v>
      </c>
      <c r="D54" s="377" t="s">
        <v>1241</v>
      </c>
      <c r="E54" s="377" t="s">
        <v>5</v>
      </c>
      <c r="F54" s="376" t="s">
        <v>1242</v>
      </c>
      <c r="G54" s="376"/>
      <c r="H54" s="376"/>
      <c r="I54" s="376"/>
      <c r="J54" s="374" t="s">
        <v>122</v>
      </c>
      <c r="K54" s="374" t="s">
        <v>1232</v>
      </c>
      <c r="L54" s="374" t="s">
        <v>1243</v>
      </c>
      <c r="M54" s="376" t="s">
        <v>1244</v>
      </c>
      <c r="N54" s="376"/>
      <c r="O54" s="376"/>
      <c r="P54" s="376"/>
    </row>
    <row r="55" spans="2:17" x14ac:dyDescent="0.35">
      <c r="B55" s="125"/>
      <c r="C55" s="377"/>
      <c r="D55" s="377"/>
      <c r="E55" s="377"/>
      <c r="F55" s="267" t="s">
        <v>1163</v>
      </c>
      <c r="G55" s="267" t="s">
        <v>1164</v>
      </c>
      <c r="H55" s="267" t="s">
        <v>1165</v>
      </c>
      <c r="I55" s="267" t="s">
        <v>1166</v>
      </c>
      <c r="J55" s="375"/>
      <c r="K55" s="375"/>
      <c r="L55" s="375"/>
      <c r="M55" s="267" t="s">
        <v>1163</v>
      </c>
      <c r="N55" s="267" t="s">
        <v>1164</v>
      </c>
      <c r="O55" s="267" t="s">
        <v>1165</v>
      </c>
      <c r="P55" s="267" t="s">
        <v>1166</v>
      </c>
    </row>
    <row r="56" spans="2:17" x14ac:dyDescent="0.35">
      <c r="B56" s="125"/>
      <c r="C56" s="271">
        <v>1</v>
      </c>
      <c r="D56" s="269" t="s">
        <v>1275</v>
      </c>
      <c r="E56" s="270" t="s">
        <v>89</v>
      </c>
      <c r="F56" s="268"/>
      <c r="G56" s="268">
        <v>1</v>
      </c>
      <c r="H56" s="268"/>
      <c r="I56" s="268"/>
      <c r="J56" s="268">
        <f>SUM(F56:I56)</f>
        <v>1</v>
      </c>
      <c r="K56" s="268"/>
      <c r="L56" s="12">
        <v>1</v>
      </c>
      <c r="M56" s="268"/>
      <c r="N56" s="268"/>
      <c r="O56" s="268"/>
      <c r="P56" s="268"/>
    </row>
    <row r="57" spans="2:17" x14ac:dyDescent="0.35">
      <c r="B57" s="125"/>
      <c r="C57" s="271">
        <f>C56+1</f>
        <v>2</v>
      </c>
      <c r="D57" s="269" t="s">
        <v>1276</v>
      </c>
      <c r="E57" s="270" t="s">
        <v>1277</v>
      </c>
      <c r="F57" s="268"/>
      <c r="G57" s="268"/>
      <c r="H57" s="268">
        <v>1</v>
      </c>
      <c r="I57" s="268"/>
      <c r="J57" s="268">
        <f t="shared" ref="J57:J60" si="8">SUM(F57:I57)</f>
        <v>1</v>
      </c>
      <c r="K57" s="268"/>
      <c r="L57" s="12">
        <v>1</v>
      </c>
      <c r="M57" s="268"/>
      <c r="N57" s="268"/>
      <c r="O57" s="268"/>
      <c r="P57" s="268"/>
    </row>
    <row r="58" spans="2:17" x14ac:dyDescent="0.35">
      <c r="B58" s="125"/>
      <c r="C58" s="271">
        <f t="shared" ref="C58:C60" si="9">C57+1</f>
        <v>3</v>
      </c>
      <c r="D58" s="269" t="s">
        <v>1278</v>
      </c>
      <c r="E58" s="270" t="s">
        <v>89</v>
      </c>
      <c r="F58" s="268">
        <v>1</v>
      </c>
      <c r="G58" s="268"/>
      <c r="H58" s="268"/>
      <c r="I58" s="268"/>
      <c r="J58" s="268">
        <f t="shared" si="8"/>
        <v>1</v>
      </c>
      <c r="K58" s="268"/>
      <c r="L58" s="12">
        <v>1</v>
      </c>
      <c r="M58" s="268"/>
      <c r="N58" s="268"/>
      <c r="O58" s="268"/>
      <c r="P58" s="268"/>
    </row>
    <row r="59" spans="2:17" x14ac:dyDescent="0.35">
      <c r="B59" s="125"/>
      <c r="C59" s="271">
        <f t="shared" si="9"/>
        <v>4</v>
      </c>
      <c r="D59" s="269" t="s">
        <v>1279</v>
      </c>
      <c r="E59" s="270" t="s">
        <v>24</v>
      </c>
      <c r="F59" s="268"/>
      <c r="G59" s="268"/>
      <c r="H59" s="268">
        <v>1</v>
      </c>
      <c r="I59" s="268"/>
      <c r="J59" s="268">
        <f t="shared" si="8"/>
        <v>1</v>
      </c>
      <c r="K59" s="268"/>
      <c r="L59" s="268">
        <v>1</v>
      </c>
      <c r="M59" s="268"/>
      <c r="N59" s="268"/>
      <c r="O59" s="268"/>
      <c r="P59" s="268"/>
    </row>
    <row r="60" spans="2:17" x14ac:dyDescent="0.35">
      <c r="B60" s="125"/>
      <c r="C60" s="271">
        <f t="shared" si="9"/>
        <v>5</v>
      </c>
      <c r="D60" s="269" t="s">
        <v>1280</v>
      </c>
      <c r="E60" s="270" t="s">
        <v>1161</v>
      </c>
      <c r="F60" s="268"/>
      <c r="G60" s="268"/>
      <c r="H60" s="268"/>
      <c r="I60" s="268">
        <v>1</v>
      </c>
      <c r="J60" s="268">
        <f t="shared" si="8"/>
        <v>1</v>
      </c>
      <c r="K60" s="268">
        <v>1</v>
      </c>
      <c r="L60" s="268"/>
      <c r="M60" s="268"/>
      <c r="N60" s="268"/>
      <c r="O60" s="268"/>
      <c r="P60" s="268"/>
    </row>
    <row r="61" spans="2:17" x14ac:dyDescent="0.35">
      <c r="B61" s="125"/>
      <c r="C61" s="372" t="s">
        <v>122</v>
      </c>
      <c r="D61" s="373"/>
      <c r="E61" s="267"/>
      <c r="F61" s="267">
        <f t="shared" ref="F61:P61" si="10">SUM(F56:F60)</f>
        <v>1</v>
      </c>
      <c r="G61" s="267">
        <f t="shared" si="10"/>
        <v>1</v>
      </c>
      <c r="H61" s="267">
        <f t="shared" si="10"/>
        <v>2</v>
      </c>
      <c r="I61" s="267">
        <f t="shared" si="10"/>
        <v>1</v>
      </c>
      <c r="J61" s="267">
        <f t="shared" si="10"/>
        <v>5</v>
      </c>
      <c r="K61" s="267">
        <f t="shared" si="10"/>
        <v>1</v>
      </c>
      <c r="L61" s="267">
        <f t="shared" si="10"/>
        <v>4</v>
      </c>
      <c r="M61" s="267">
        <f t="shared" si="10"/>
        <v>0</v>
      </c>
      <c r="N61" s="267">
        <f t="shared" si="10"/>
        <v>0</v>
      </c>
      <c r="O61" s="267">
        <f t="shared" si="10"/>
        <v>0</v>
      </c>
      <c r="P61" s="267">
        <f t="shared" si="10"/>
        <v>0</v>
      </c>
    </row>
    <row r="62" spans="2:17" x14ac:dyDescent="0.35">
      <c r="B62" s="125"/>
      <c r="C62" s="273"/>
      <c r="D62" s="273"/>
      <c r="E62" s="273"/>
      <c r="F62" s="273"/>
      <c r="G62" s="273"/>
      <c r="H62" s="273"/>
      <c r="I62" s="273"/>
      <c r="J62" s="273"/>
      <c r="K62" s="273"/>
      <c r="L62" s="273"/>
      <c r="M62" s="273"/>
      <c r="N62" s="273"/>
      <c r="O62" s="273"/>
      <c r="P62" s="273"/>
      <c r="Q62" s="100"/>
    </row>
    <row r="64" spans="2:17" x14ac:dyDescent="0.35">
      <c r="B64" s="18" t="s">
        <v>1281</v>
      </c>
    </row>
    <row r="65" spans="2:16" x14ac:dyDescent="0.35">
      <c r="B65" s="125"/>
      <c r="C65" s="377" t="s">
        <v>4</v>
      </c>
      <c r="D65" s="377" t="s">
        <v>1282</v>
      </c>
      <c r="E65" s="377" t="s">
        <v>5</v>
      </c>
      <c r="F65" s="376" t="s">
        <v>1242</v>
      </c>
      <c r="G65" s="376"/>
      <c r="H65" s="376"/>
      <c r="I65" s="376"/>
      <c r="J65" s="374" t="s">
        <v>122</v>
      </c>
      <c r="K65" s="374" t="s">
        <v>1232</v>
      </c>
      <c r="L65" s="374" t="s">
        <v>1243</v>
      </c>
      <c r="M65" s="376" t="s">
        <v>1244</v>
      </c>
      <c r="N65" s="376"/>
      <c r="O65" s="376"/>
      <c r="P65" s="376"/>
    </row>
    <row r="66" spans="2:16" x14ac:dyDescent="0.35">
      <c r="B66" s="125"/>
      <c r="C66" s="377"/>
      <c r="D66" s="377"/>
      <c r="E66" s="377"/>
      <c r="F66" s="267" t="s">
        <v>1163</v>
      </c>
      <c r="G66" s="267" t="s">
        <v>1164</v>
      </c>
      <c r="H66" s="267" t="s">
        <v>1165</v>
      </c>
      <c r="I66" s="267" t="s">
        <v>1166</v>
      </c>
      <c r="J66" s="375"/>
      <c r="K66" s="375"/>
      <c r="L66" s="375"/>
      <c r="M66" s="267" t="s">
        <v>1163</v>
      </c>
      <c r="N66" s="267" t="s">
        <v>1164</v>
      </c>
      <c r="O66" s="267" t="s">
        <v>1165</v>
      </c>
      <c r="P66" s="267" t="s">
        <v>1166</v>
      </c>
    </row>
    <row r="67" spans="2:16" s="10" customFormat="1" ht="43.5" x14ac:dyDescent="0.35">
      <c r="B67" s="110"/>
      <c r="C67" s="238">
        <v>1</v>
      </c>
      <c r="D67" s="58" t="s">
        <v>1283</v>
      </c>
      <c r="E67" s="34" t="s">
        <v>561</v>
      </c>
      <c r="F67" s="5"/>
      <c r="G67" s="5"/>
      <c r="H67" s="5"/>
      <c r="I67" s="5">
        <v>1</v>
      </c>
      <c r="J67" s="5">
        <f>SUM(F67:I67)</f>
        <v>1</v>
      </c>
      <c r="K67" s="5"/>
      <c r="L67" s="5">
        <v>1</v>
      </c>
      <c r="M67" s="5"/>
      <c r="N67" s="5"/>
      <c r="O67" s="5"/>
      <c r="P67" s="5"/>
    </row>
    <row r="68" spans="2:16" x14ac:dyDescent="0.35">
      <c r="B68" s="125"/>
      <c r="C68" s="372" t="s">
        <v>122</v>
      </c>
      <c r="D68" s="373"/>
      <c r="E68" s="267"/>
      <c r="F68" s="267">
        <f t="shared" ref="F68:P68" si="11">SUM(F67:F67)</f>
        <v>0</v>
      </c>
      <c r="G68" s="267">
        <f t="shared" si="11"/>
        <v>0</v>
      </c>
      <c r="H68" s="267">
        <f t="shared" si="11"/>
        <v>0</v>
      </c>
      <c r="I68" s="267">
        <f t="shared" si="11"/>
        <v>1</v>
      </c>
      <c r="J68" s="267">
        <f t="shared" si="11"/>
        <v>1</v>
      </c>
      <c r="K68" s="267">
        <f t="shared" si="11"/>
        <v>0</v>
      </c>
      <c r="L68" s="267">
        <f t="shared" si="11"/>
        <v>1</v>
      </c>
      <c r="M68" s="267">
        <f t="shared" si="11"/>
        <v>0</v>
      </c>
      <c r="N68" s="267">
        <f t="shared" si="11"/>
        <v>0</v>
      </c>
      <c r="O68" s="267">
        <f t="shared" si="11"/>
        <v>0</v>
      </c>
      <c r="P68" s="267">
        <f t="shared" si="11"/>
        <v>0</v>
      </c>
    </row>
  </sheetData>
  <mergeCells count="63">
    <mergeCell ref="M4:P4"/>
    <mergeCell ref="C4:C5"/>
    <mergeCell ref="D4:D5"/>
    <mergeCell ref="E4:E5"/>
    <mergeCell ref="F16:I16"/>
    <mergeCell ref="F4:I4"/>
    <mergeCell ref="J4:J5"/>
    <mergeCell ref="K4:K5"/>
    <mergeCell ref="L4:L5"/>
    <mergeCell ref="C20:D20"/>
    <mergeCell ref="C11:D11"/>
    <mergeCell ref="C16:C17"/>
    <mergeCell ref="D16:D17"/>
    <mergeCell ref="E16:E17"/>
    <mergeCell ref="J25:J26"/>
    <mergeCell ref="J16:J17"/>
    <mergeCell ref="K16:K17"/>
    <mergeCell ref="L16:L17"/>
    <mergeCell ref="M16:P16"/>
    <mergeCell ref="K25:K26"/>
    <mergeCell ref="L25:L26"/>
    <mergeCell ref="M25:P25"/>
    <mergeCell ref="C31:D31"/>
    <mergeCell ref="C36:C37"/>
    <mergeCell ref="D36:D37"/>
    <mergeCell ref="E36:E37"/>
    <mergeCell ref="F36:I36"/>
    <mergeCell ref="J36:J37"/>
    <mergeCell ref="K36:K37"/>
    <mergeCell ref="L36:L37"/>
    <mergeCell ref="M36:P36"/>
    <mergeCell ref="C25:C26"/>
    <mergeCell ref="D25:D26"/>
    <mergeCell ref="E25:E26"/>
    <mergeCell ref="F25:I25"/>
    <mergeCell ref="M45:P45"/>
    <mergeCell ref="C50:D50"/>
    <mergeCell ref="C41:D41"/>
    <mergeCell ref="C45:C46"/>
    <mergeCell ref="D45:D46"/>
    <mergeCell ref="E45:E46"/>
    <mergeCell ref="F45:I45"/>
    <mergeCell ref="F54:I54"/>
    <mergeCell ref="J54:J55"/>
    <mergeCell ref="J45:J46"/>
    <mergeCell ref="K45:K46"/>
    <mergeCell ref="L45:L46"/>
    <mergeCell ref="C68:D68"/>
    <mergeCell ref="K54:K55"/>
    <mergeCell ref="L54:L55"/>
    <mergeCell ref="M54:P54"/>
    <mergeCell ref="C61:D61"/>
    <mergeCell ref="C65:C66"/>
    <mergeCell ref="D65:D66"/>
    <mergeCell ref="E65:E66"/>
    <mergeCell ref="F65:I65"/>
    <mergeCell ref="J65:J66"/>
    <mergeCell ref="K65:K66"/>
    <mergeCell ref="L65:L66"/>
    <mergeCell ref="M65:P65"/>
    <mergeCell ref="C54:C55"/>
    <mergeCell ref="D54:D55"/>
    <mergeCell ref="E54:E5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DES</vt:lpstr>
      <vt:lpstr>NOV</vt:lpstr>
      <vt:lpstr>OKT</vt:lpstr>
      <vt:lpstr>SEPT</vt:lpstr>
      <vt:lpstr>AGS</vt:lpstr>
      <vt:lpstr>JUL</vt:lpstr>
      <vt:lpstr>JUN</vt:lpstr>
      <vt:lpstr>MEI</vt:lpstr>
      <vt:lpstr>APR</vt:lpstr>
      <vt:lpstr>MAR</vt:lpstr>
      <vt:lpstr>MONITOR SIRKULER</vt:lpstr>
      <vt:lpstr>LIST PPG</vt:lpstr>
      <vt:lpstr>OTA</vt:lpstr>
      <vt:lpstr>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Sulistiani</dc:creator>
  <cp:lastModifiedBy>Sulistiani</cp:lastModifiedBy>
  <cp:lastPrinted>2024-12-10T14:37:06Z</cp:lastPrinted>
  <dcterms:created xsi:type="dcterms:W3CDTF">2022-01-06T08:48:35Z</dcterms:created>
  <dcterms:modified xsi:type="dcterms:W3CDTF">2025-02-26T06:18:23Z</dcterms:modified>
</cp:coreProperties>
</file>